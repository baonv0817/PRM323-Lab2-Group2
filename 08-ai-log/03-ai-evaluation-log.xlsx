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udy\FPTU\Sem8\PRM323\prm393-lab2\ai\"/>
    </mc:Choice>
  </mc:AlternateContent>
  <xr:revisionPtr revIDLastSave="0" documentId="13_ncr:1_{8C60E9C9-49FB-40C9-B6E1-862AA037CC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ADME" sheetId="1" r:id="rId1"/>
    <sheet name="Versions" sheetId="2" r:id="rId2"/>
    <sheet name="AI_Findings" sheetId="3" r:id="rId3"/>
    <sheet name="Decisions" sheetId="4" r:id="rId4"/>
    <sheet name="Summary" sheetId="5" r:id="rId5"/>
  </sheets>
  <definedNames>
    <definedName name="_xlnm._FilterDatabase" localSheetId="2" hidden="1">AI_Findings!$A$1:$L$44</definedName>
    <definedName name="_xlnm._FilterDatabase" localSheetId="3" hidden="1">Decisions!$A$1:$G$43</definedName>
    <definedName name="_xlnm._FilterDatabase" localSheetId="1" hidden="1">Versions!$A$1:$I$12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5" l="1"/>
  <c r="B37" i="5"/>
  <c r="B36" i="5"/>
  <c r="B35" i="5"/>
  <c r="B34" i="5"/>
  <c r="B33" i="5"/>
  <c r="B32" i="5"/>
  <c r="B39" i="5" s="1"/>
  <c r="B27" i="5"/>
  <c r="B26" i="5"/>
  <c r="B25" i="5"/>
  <c r="B28" i="5" s="1"/>
  <c r="B20" i="5"/>
  <c r="B19" i="5"/>
  <c r="B18" i="5"/>
  <c r="B17" i="5"/>
  <c r="B16" i="5"/>
  <c r="B11" i="5"/>
  <c r="B10" i="5"/>
  <c r="B9" i="5"/>
  <c r="B8" i="5"/>
  <c r="B7" i="5"/>
  <c r="B6" i="5"/>
  <c r="B5" i="5"/>
  <c r="B4" i="5"/>
  <c r="B3" i="5"/>
  <c r="B12" i="5" s="1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B41" i="5" l="1"/>
  <c r="B21" i="5"/>
</calcChain>
</file>

<file path=xl/sharedStrings.xml><?xml version="1.0" encoding="utf-8"?>
<sst xmlns="http://schemas.openxmlformats.org/spreadsheetml/2006/main" count="910" uniqueCount="482">
  <si>
    <t>FtaCode Mobile — AI Evaluation Log (version × đánh giá của AI × quyết định)</t>
  </si>
  <si>
    <t>Sheet</t>
  </si>
  <si>
    <t>Nội dung</t>
  </si>
  <si>
    <t>Versions</t>
  </si>
  <si>
    <t>Các phiên bản thiết kế V0 → V5 (gồm 3 vòng lặp Stitch I01–I03): công cụ, ngày, thay đổi, vấn đề nhắm tới, minh chứng</t>
  </si>
  <si>
    <t>AI_Findings</t>
  </si>
  <si>
    <t>Mọi phát hiện của AI (và lần đo lại): vòng đánh giá, công cụ, phiên bản bị đánh giá, màn hình, tiêu chí, mức độ, đề xuất, mã quyết định. Cột cuối tự tra loại quyết định</t>
  </si>
  <si>
    <t>Decisions</t>
  </si>
  <si>
    <t>D01–D17: Accept / Modify / Reject, lý do, phiên bản áp dụng, trạng thái trong Figma. Cột "Số phát hiện" đếm bằng công thức</t>
  </si>
  <si>
    <t>Summary</t>
  </si>
  <si>
    <t>Đếm theo vòng đánh giá, mức độ, loại quyết định, trạng thái Figma (công thức COUNTIF)</t>
  </si>
  <si>
    <t>Mã ID</t>
  </si>
  <si>
    <t>Theo Chuẩn chung C7 của môn: I = vòng lặp AI, D = quyết định. C = phát hiện critique (mã riêng của file này)</t>
  </si>
  <si>
    <t>Nguồn</t>
  </si>
  <si>
    <t>ai/ai-design-log.md (mục 2–5, Phụ lục A, B) · ai/ai-persona-interviews.md · design/DESIGN.md mục 2.5</t>
  </si>
  <si>
    <t>Lưu ý</t>
  </si>
  <si>
    <t>R1 (Gemini) chỉ còn bản tóm tắt nên không có mức độ. Ảnh trước/sau của I01–I03 đang trùng file, cần chụp lại từ lịch sử Stitch. Ô nền kem ở cột "Trạng thái Figma" (sheet Decisions) là chỗ cập nhật sau khi sửa Figma</t>
  </si>
  <si>
    <t>Version</t>
  </si>
  <si>
    <t>Tên</t>
  </si>
  <si>
    <t>Công cụ</t>
  </si>
  <si>
    <t>Ngày</t>
  </si>
  <si>
    <t>Thay đổi</t>
  </si>
  <si>
    <t>Vấn đề nhắm tới</t>
  </si>
  <si>
    <t>Màn hình</t>
  </si>
  <si>
    <t>Minh chứng</t>
  </si>
  <si>
    <t>Trạng thái minh chứng</t>
  </si>
  <si>
    <t>P0</t>
  </si>
  <si>
    <t>Xác định vấn đề (bổ sung 19/10)</t>
  </si>
  <si>
    <t>Tài liệu repo + Claude phản biện</t>
  </si>
  <si>
    <t>19/10/2026</t>
  </si>
  <si>
    <t>Idea Board 4 hướng, problem statement, assumption log, MVP scope</t>
  </si>
  <si>
    <t>Chuẩn hoá theo quy trình P0</t>
  </si>
  <si>
    <t>—</t>
  </si>
  <si>
    <t>ux/p0-problem-framing.md</t>
  </si>
  <si>
    <t>Có</t>
  </si>
  <si>
    <t>P1</t>
  </si>
  <si>
    <t>Nghiên cứu (bổ sung 19/10)</t>
  </si>
  <si>
    <t>Research plan, protocol, evidence log, insight, journey</t>
  </si>
  <si>
    <t>Chuẩn hoá theo quy trình P1</t>
  </si>
  <si>
    <t>ux/p1-research.md</t>
  </si>
  <si>
    <t>Có (chưa có người thật)</t>
  </si>
  <si>
    <t>P2</t>
  </si>
  <si>
    <t>UX Design (bổ sung 20/10)</t>
  </si>
  <si>
    <t>20/10/2026</t>
  </si>
  <si>
    <t>Evidence matrix, JTBD, user story, journey, trạng thái biên, walkthrough</t>
  </si>
  <si>
    <t>Chuẩn hoá theo quy trình P2</t>
  </si>
  <si>
    <t>S01–S08</t>
  </si>
  <si>
    <t>ux/p2-ux-design.md</t>
  </si>
  <si>
    <t>Có (walkthrough do AI)</t>
  </si>
  <si>
    <t>P3</t>
  </si>
  <si>
    <t>UI Concept (bổ sung 20/10)</t>
  </si>
  <si>
    <t>Stitch (A) + Claude HTML (B, C)</t>
  </si>
  <si>
    <t>3 concept Trang chủ, style guide, contrast baseline</t>
  </si>
  <si>
    <t>Chuẩn hoá theo quy trình P3</t>
  </si>
  <si>
    <t>S02</t>
  </si>
  <si>
    <t>design/p3-ui-concept-style-guide.md · assets/concepts/</t>
  </si>
  <si>
    <t>P4</t>
  </si>
  <si>
    <t>UI chi tiết &amp; prototype (bổ sung 20/10)</t>
  </si>
  <si>
    <t>Tài liệu repo + Claude chấm/phản biện</t>
  </si>
  <si>
    <t>Coverage matrix, prototype spec, UI checklist mức nền, change log, QA log</t>
  </si>
  <si>
    <t>Chuẩn hoá theo quy trình P4</t>
  </si>
  <si>
    <t>design/p4-detailed-ui-prototype.md</t>
  </si>
  <si>
    <t>Có (Figma chưa kiểm)</t>
  </si>
  <si>
    <t>V0</t>
  </si>
  <si>
    <t>Bản Stitch đầu tiên</t>
  </si>
  <si>
    <t>Google Stitch</t>
  </si>
  <si>
    <t>15/10/2026 (log) · commit 13/10/2026</t>
  </si>
  <si>
    <t>Sinh 4 màn hình từ prompt dựa trên DESIGN.md</t>
  </si>
  <si>
    <t>Home, Chi tiết, Giỏ hàng, Theo dõi đơn</t>
  </si>
  <si>
    <t>ai-design-log mục 2.1–2.2 · assets/stitch/01–04</t>
  </si>
  <si>
    <t>I01</t>
  </si>
  <si>
    <t>Vòng lặp 1</t>
  </si>
  <si>
    <t>14/10/2026 (commit)</t>
  </si>
  <si>
    <t>Ghim CTA xuống đáy, giá động trên nút</t>
  </si>
  <si>
    <t>Tương phản thấp &amp; CTA bị chìm</t>
  </si>
  <si>
    <t>SCR-04, SCR-05</t>
  </si>
  <si>
    <t>assets/stitch/iteration1_*</t>
  </si>
  <si>
    <t>Cần chụp lại (ảnh trùng file)</t>
  </si>
  <si>
    <t>I02</t>
  </si>
  <si>
    <t>Vòng lặp 2</t>
  </si>
  <si>
    <t>Thêm empty state giỏ hàng + dialog xác nhận xoá</t>
  </si>
  <si>
    <t>Thiếu empty state &amp; dễ xoá nhầm</t>
  </si>
  <si>
    <t>SCR-05</t>
  </si>
  <si>
    <t>assets/stitch/iteration2_*</t>
  </si>
  <si>
    <t>I03</t>
  </si>
  <si>
    <t>Vòng lặp 3</t>
  </si>
  <si>
    <t>Thêm màn phục hồi lỗi thanh toán, giữ giỏ hàng</t>
  </si>
  <si>
    <t>Lỗi thanh toán là ngõ cụt</t>
  </si>
  <si>
    <t>SCR-06-ERR</t>
  </si>
  <si>
    <t>assets/stitch/iteration3_*</t>
  </si>
  <si>
    <t>V4</t>
  </si>
  <si>
    <t>Bản Figma 6 page</t>
  </si>
  <si>
    <t>Figma (dựng bằng plugin)</t>
  </si>
  <si>
    <t>15/10/2026 (commit)</t>
  </si>
  <si>
    <t>Dựng 8 màn + biến thể, design system, components, prototype</t>
  </si>
  <si>
    <t>SCR-01 → SCR-08</t>
  </si>
  <si>
    <t>Link Figma · assets/figma/</t>
  </si>
  <si>
    <t>Cần xuất lại PNG từ Figma</t>
  </si>
  <si>
    <t>V5</t>
  </si>
  <si>
    <t>Bản sửa sau đánh giá</t>
  </si>
  <si>
    <t>Tài liệu repo (Claude hỗ trợ)</t>
  </si>
  <si>
    <t>17/10/2026</t>
  </si>
  <si>
    <t>Sửa token màu theo đo WCAG, persona theo guideline, quyết định D06–D17</t>
  </si>
  <si>
    <t>Kết quả các vòng AI đánh giá</t>
  </si>
  <si>
    <t>Toàn app</t>
  </si>
  <si>
    <t>design/DESIGN.md mục 2.5 · ai-design-log mục 5</t>
  </si>
  <si>
    <t>Figma chưa cập nhật</t>
  </si>
  <si>
    <t>Finding ID</t>
  </si>
  <si>
    <t>Vòng đánh giá</t>
  </si>
  <si>
    <t>Công cụ AI</t>
  </si>
  <si>
    <t>Version bị đánh giá</t>
  </si>
  <si>
    <t>Màn hình / file</t>
  </si>
  <si>
    <t>Tiêu chí</t>
  </si>
  <si>
    <t>Mức độ</t>
  </si>
  <si>
    <t>Phát hiện</t>
  </si>
  <si>
    <t>AI đề xuất</t>
  </si>
  <si>
    <t>Decision ID</t>
  </si>
  <si>
    <t>Loại quyết định (tra cứu)</t>
  </si>
  <si>
    <t>P0-C01</t>
  </si>
  <si>
    <t>R0 Phản biện P0</t>
  </si>
  <si>
    <t>Claude Opus 5.5</t>
  </si>
  <si>
    <t>Problem statement</t>
  </si>
  <si>
    <t>Problem framing (G0)</t>
  </si>
  <si>
    <t>Cao</t>
  </si>
  <si>
    <t>Problem statement chứa giải pháp đặt trước, nhận tại quầy</t>
  </si>
  <si>
    <t>Chỉ mô tả vấn đề, thêm How might we</t>
  </si>
  <si>
    <t>D18</t>
  </si>
  <si>
    <t>P0-C02</t>
  </si>
  <si>
    <t>Chỉ số thành công</t>
  </si>
  <si>
    <t>Vừa</t>
  </si>
  <si>
    <t>Chỉ số chỉ đo tốc độ thao tác, không đo việc giảm bỏ bữa</t>
  </si>
  <si>
    <t>Thêm chỉ số kết quả</t>
  </si>
  <si>
    <t>D19</t>
  </si>
  <si>
    <t>P0-C03</t>
  </si>
  <si>
    <t>Idea Board</t>
  </si>
  <si>
    <t>Ưu tiên Impact × Feasibility</t>
  </si>
  <si>
    <t>Feasibility của hướng app cao chủ yếu vì khớp đề bài</t>
  </si>
  <si>
    <t>Cân nhắc chuyển sang web đặt qua QR</t>
  </si>
  <si>
    <t>D20</t>
  </si>
  <si>
    <t>P0-C04</t>
  </si>
  <si>
    <t>Assumption log</t>
  </si>
  <si>
    <t>Fact / Hypothesis / Unknown</t>
  </si>
  <si>
    <t>Thiếu giả định về năng lực bếp giờ nghỉ</t>
  </si>
  <si>
    <t>Thêm giả định phía cung</t>
  </si>
  <si>
    <t>D21</t>
  </si>
  <si>
    <t>P0-C05</t>
  </si>
  <si>
    <t>Thấp</t>
  </si>
  <si>
    <t>Căn tin đông giờ nghỉ đang coi như sự thật</t>
  </si>
  <si>
    <t>Xếp vào Unknown</t>
  </si>
  <si>
    <t>D22</t>
  </si>
  <si>
    <t>P1-C01</t>
  </si>
  <si>
    <t>R5 Phản biện P1</t>
  </si>
  <si>
    <t>Research</t>
  </si>
  <si>
    <t>Gate G1 Critical 1</t>
  </si>
  <si>
    <t>Mọi insight hành vi đều từ nhân vật giả lập</t>
  </si>
  <si>
    <t>Giải trình rõ, có kế hoạch, không coi là dữ liệu</t>
  </si>
  <si>
    <t>D23</t>
  </si>
  <si>
    <t>P1-C02</t>
  </si>
  <si>
    <t>INS-06 / Flow 3</t>
  </si>
  <si>
    <t>Insight từ 1 nguồn</t>
  </si>
  <si>
    <t>Flow 3 xây trên insight chỉ có 1 nguồn giả lập</t>
  </si>
  <si>
    <t>Hạ tin cậy, kiểm bằng RQ5</t>
  </si>
  <si>
    <t>D24</t>
  </si>
  <si>
    <t>P1-C03</t>
  </si>
  <si>
    <t>Bảng đối thủ</t>
  </si>
  <si>
    <t>Truy vết nguồn</t>
  </si>
  <si>
    <t>Ô đối thủ lấy từ giả lập nhưng trông như thử thật</t>
  </si>
  <si>
    <t>Ghi rõ nguồn giả lập</t>
  </si>
  <si>
    <t>D25</t>
  </si>
  <si>
    <t>P1-C04</t>
  </si>
  <si>
    <t>Phương pháp</t>
  </si>
  <si>
    <t>Thiên lệch</t>
  </si>
  <si>
    <t>Cùng hệ AI vừa đóng vai người dùng vừa hỗ trợ thiết kế</t>
  </si>
  <si>
    <t>Ghi vào giới hạn</t>
  </si>
  <si>
    <t>D26</t>
  </si>
  <si>
    <t>P1-C05</t>
  </si>
  <si>
    <t>Bộ phỏng vấn giả lập</t>
  </si>
  <si>
    <t>Câu hỏi dẫn dắt</t>
  </si>
  <si>
    <t>Câu 8 giả định sẵn giải pháp</t>
  </si>
  <si>
    <t>Chỉ hỏi việc đã xảy ra</t>
  </si>
  <si>
    <t>D27</t>
  </si>
  <si>
    <t>P2-C01</t>
  </si>
  <si>
    <t>R6 Phản biện P2</t>
  </si>
  <si>
    <t>F1 · S06</t>
  </si>
  <si>
    <t>Bước thừa so với ≤ 8 chạm</t>
  </si>
  <si>
    <t>Xác nhận hai lần: nút Xác nhận + dialog Đồng ý</t>
  </si>
  <si>
    <t>Bỏ một bước hoặc bù chạm</t>
  </si>
  <si>
    <t>D28</t>
  </si>
  <si>
    <t>P2-C02</t>
  </si>
  <si>
    <t>F1 · S04</t>
  </si>
  <si>
    <t>Hành vi dev phải hỏi lại</t>
  </si>
  <si>
    <t>Sau Thêm vào giỏ: tới S05 hay về menu chưa chốt</t>
  </si>
  <si>
    <t>Chốt một hành vi</t>
  </si>
  <si>
    <t>D29</t>
  </si>
  <si>
    <t>P2-C03</t>
  </si>
  <si>
    <t>Đo lường</t>
  </si>
  <si>
    <t>Chưa rõ áp dụng cho người mới hay người cũ</t>
  </si>
  <si>
    <t>Ghi rõ đối tượng</t>
  </si>
  <si>
    <t>D32</t>
  </si>
  <si>
    <t>P2-C04</t>
  </si>
  <si>
    <t>S03 · S04 · S08</t>
  </si>
  <si>
    <t>Nhánh lỗi còn thiếu</t>
  </si>
  <si>
    <t>Chưa có trạng thái món hết hàng</t>
  </si>
  <si>
    <t>Thêm trạng thái Tạm hết</t>
  </si>
  <si>
    <t>D30</t>
  </si>
  <si>
    <t>P2-C05</t>
  </si>
  <si>
    <t>F3 · S07</t>
  </si>
  <si>
    <t>Rủi ro nghiệp vụ</t>
  </si>
  <si>
    <t>Đơn trả tiền mặt có thể bị bỏ</t>
  </si>
  <si>
    <t>Đánh dấu đơn, ghi giả định</t>
  </si>
  <si>
    <t>D31</t>
  </si>
  <si>
    <t>P3-C01</t>
  </si>
  <si>
    <t>R7 Phản biện P3</t>
  </si>
  <si>
    <t>Concept board</t>
  </si>
  <si>
    <t>So sánh concept</t>
  </si>
  <si>
    <t>A là Stitch thật, B và C là mockup; tiêu chí thương hiệu có lợi cho A</t>
  </si>
  <si>
    <t>Ghi rõ nguồn, so cùng nội dung</t>
  </si>
  <si>
    <t>D35</t>
  </si>
  <si>
    <t>P3-C02</t>
  </si>
  <si>
    <t>Type scale</t>
  </si>
  <si>
    <t>Chuẩn C4: chữ ≥ 14 sp</t>
  </si>
  <si>
    <t>Còn token 12 sp trong thang chữ</t>
  </si>
  <si>
    <t>Giới hạn chỉ cho nhãn tab</t>
  </si>
  <si>
    <t>D36</t>
  </si>
  <si>
    <t>P3-C03</t>
  </si>
  <si>
    <t>S02 concept A</t>
  </si>
  <si>
    <t>Density</t>
  </si>
  <si>
    <t>Banner ưu đãi đẩy món xuống, chỉ thấy ~2,5 thẻ</t>
  </si>
  <si>
    <t>Thu nhỏ banner</t>
  </si>
  <si>
    <t>D33</t>
  </si>
  <si>
    <t>P3-C04</t>
  </si>
  <si>
    <t>Thẻ món</t>
  </si>
  <si>
    <t>Style guide</t>
  </si>
  <si>
    <t>Chưa quy định tỉ lệ ảnh và ảnh lỗi</t>
  </si>
  <si>
    <t>Ảnh 1:1, fallback tên món</t>
  </si>
  <si>
    <t>D37</t>
  </si>
  <si>
    <t>P3-C05</t>
  </si>
  <si>
    <t>Concept đã chọn</t>
  </si>
  <si>
    <t>Gate G3 (nội dung dài)</t>
  </si>
  <si>
    <t>Chưa kiểm nội dung dài và 412 dp</t>
  </si>
  <si>
    <t>Kiểm trong Figma</t>
  </si>
  <si>
    <t>P4-C01</t>
  </si>
  <si>
    <t>R8 Phản biện P4</t>
  </si>
  <si>
    <t>UI checklist</t>
  </si>
  <si>
    <t>Gate G4</t>
  </si>
  <si>
    <t>Điểm checklist chấm trên ảnh Stitch, chưa phải Figma cuối</t>
  </si>
  <si>
    <t>Chấm lại trên Figma</t>
  </si>
  <si>
    <t>D42</t>
  </si>
  <si>
    <t>P4-C02</t>
  </si>
  <si>
    <t>S02 · S04</t>
  </si>
  <si>
    <t>UI Checklist A3 / test Bớt</t>
  </si>
  <si>
    <t>Sao đánh giá, giá gạch, banner không giúp đặt nhanh</t>
  </si>
  <si>
    <t>Bỏ thông tin trang trí</t>
  </si>
  <si>
    <t>D38</t>
  </si>
  <si>
    <t>P4-C03</t>
  </si>
  <si>
    <t>S06-ERR</t>
  </si>
  <si>
    <t>Nielsen #9 · Checklist A2</t>
  </si>
  <si>
    <t>Lời giải thích lỗi dài, câu quan trọng bị chìm</t>
  </si>
  <si>
    <t>Rút còn 2 dòng</t>
  </si>
  <si>
    <t>D39</t>
  </si>
  <si>
    <t>P4-C04</t>
  </si>
  <si>
    <t>Figma Page 03</t>
  </si>
  <si>
    <t>Gate G4 Critical 3</t>
  </si>
  <si>
    <t>Figma thiếu biến thể Loading, Tạm hết</t>
  </si>
  <si>
    <t>Thêm biến thể</t>
  </si>
  <si>
    <t>D40</t>
  </si>
  <si>
    <t>P4-C05</t>
  </si>
  <si>
    <t>Figma Page 06</t>
  </si>
  <si>
    <t>Prototype</t>
  </si>
  <si>
    <t>After delay dễ bấm nhầm; Back S07 có thể về S06</t>
  </si>
  <si>
    <t>Tắt hotspot, nối Back về S02</t>
  </si>
  <si>
    <t>D41</t>
  </si>
  <si>
    <t>C01</t>
  </si>
  <si>
    <t>R1 Critique đầu</t>
  </si>
  <si>
    <t>Gemini</t>
  </si>
  <si>
    <t>SCR-02</t>
  </si>
  <si>
    <t>Nielsen #1 Visibility of system status</t>
  </si>
  <si>
    <t>Không ghi</t>
  </si>
  <si>
    <t>Không hiển thị quầy Kiosk mở / tạm dừng nhận đơn</t>
  </si>
  <si>
    <t>Thêm banner trạng thái Kiosk</t>
  </si>
  <si>
    <t>D01</t>
  </si>
  <si>
    <t>C02</t>
  </si>
  <si>
    <t>SCR-04</t>
  </si>
  <si>
    <t>Nielsen #6 Recognition rather than recall</t>
  </si>
  <si>
    <t>Giá topping không cộng dồn vào nút, phải tự nhẩm</t>
  </si>
  <si>
    <t>Cộng dồn giá động trên CTA</t>
  </si>
  <si>
    <t>D02</t>
  </si>
  <si>
    <t>C03</t>
  </si>
  <si>
    <t>Nielsen #9 Error recovery</t>
  </si>
  <si>
    <t>Mã voucher sai chỉ đổi viền đỏ, không nói lý do</t>
  </si>
  <si>
    <t>Thêm câu báo lỗi cụ thể</t>
  </si>
  <si>
    <t>D03</t>
  </si>
  <si>
    <t>C04</t>
  </si>
  <si>
    <t>SCR-07</t>
  </si>
  <si>
    <t>Nielsen #3 User control and freedom</t>
  </si>
  <si>
    <t>Không huỷ được đơn sau khi đặt</t>
  </si>
  <si>
    <t>Cho huỷ đơn bất kỳ lúc nào</t>
  </si>
  <si>
    <t>D04</t>
  </si>
  <si>
    <t>C05</t>
  </si>
  <si>
    <t>SCR-03</t>
  </si>
  <si>
    <t>WCAG 2.5.5 Target size</t>
  </si>
  <si>
    <t>Icon lọc danh mục chỉ 20 × 20 dp</t>
  </si>
  <si>
    <t>Tăng lên 48 × 48 dp</t>
  </si>
  <si>
    <t>D05</t>
  </si>
  <si>
    <t>C06</t>
  </si>
  <si>
    <t>R2 Đo lại sau I01</t>
  </si>
  <si>
    <t>Kiểm tra bằng công thức WCAG</t>
  </si>
  <si>
    <t>WCAG 1.4.3 Contrast (Minimum)</t>
  </si>
  <si>
    <t>Chữ trắng trên #F69D39 chỉ 2,14:1, không đạt 4,5:1</t>
  </si>
  <si>
    <t>Prompt I01 yêu cầu chữ trắng để đạt AA (yêu cầu sai)</t>
  </si>
  <si>
    <t>D06</t>
  </si>
  <si>
    <t>C07</t>
  </si>
  <si>
    <t>R3 Phản biện persona</t>
  </si>
  <si>
    <t>Persona</t>
  </si>
  <si>
    <t>ux/persona.md</t>
  </si>
  <si>
    <t>Evidence (Persona Guideline)</t>
  </si>
  <si>
    <t>Con số 12–18 phút, giờ cao điểm không có nguồn</t>
  </si>
  <si>
    <t>Bỏ số không nguồn, ghi thành giả thuyết</t>
  </si>
  <si>
    <t>D07</t>
  </si>
  <si>
    <t>C08</t>
  </si>
  <si>
    <t>Nhất quán persona – nền tảng</t>
  </si>
  <si>
    <t>Persona dùng iPhone nhưng thiết kế Android 360 dp</t>
  </si>
  <si>
    <t>Đổi thiết bị persona sang Android</t>
  </si>
  <si>
    <t>D08</t>
  </si>
  <si>
    <t>C09</t>
  </si>
  <si>
    <t>Bao phủ rào cản</t>
  </si>
  <si>
    <t>Bỏ sót rào cản "không muốn cài thêm app"</t>
  </si>
  <si>
    <t>Thêm rào cản vào persona</t>
  </si>
  <si>
    <t>D09</t>
  </si>
  <si>
    <t>C10</t>
  </si>
  <si>
    <t>R4 Critique bổ sung</t>
  </si>
  <si>
    <t>Nielsen #2, #6</t>
  </si>
  <si>
    <t>Ảnh món là ô giữ chỗ màu tím</t>
  </si>
  <si>
    <t>Dùng ảnh món thật</t>
  </si>
  <si>
    <t>D14</t>
  </si>
  <si>
    <t>C11</t>
  </si>
  <si>
    <t>WCAG 1.4.3</t>
  </si>
  <si>
    <t>Chữ trắng trên nút cam 2,14:1</t>
  </si>
  <si>
    <t>Chữ nút nâu đậm hoặc nền nút đậm hơn</t>
  </si>
  <si>
    <t>C12</t>
  </si>
  <si>
    <t>SCR-02, SCR-05</t>
  </si>
  <si>
    <t>Chuẩn C4: chữ nội dung ≥ 14 sp</t>
  </si>
  <si>
    <t>Chữ phụ và nhãn tab nhìn dưới 14 sp</t>
  </si>
  <si>
    <t>Nâng lên 14 sp hoặc bỏ chữ thừa</t>
  </si>
  <si>
    <t>D15</t>
  </si>
  <si>
    <t>C13</t>
  </si>
  <si>
    <t>Nielsen #8 Minimalist design</t>
  </si>
  <si>
    <t>Giỏ hàng gộp luôn phương thức thanh toán, quá dài</t>
  </si>
  <si>
    <t>Tách Giỏ hàng và Thanh toán</t>
  </si>
  <si>
    <t>D10</t>
  </si>
  <si>
    <t>C14</t>
  </si>
  <si>
    <t>WCAG 2.5.5</t>
  </si>
  <si>
    <t>Nút +/- khoảng 24–28 dp, sát CTA</t>
  </si>
  <si>
    <t>Vùng chạm 48 dp, tách khỏi CTA</t>
  </si>
  <si>
    <t>D13</t>
  </si>
  <si>
    <t>C15</t>
  </si>
  <si>
    <t>Nielsen #9</t>
  </si>
  <si>
    <t>Lộ mã lỗi kỹ thuật #PAY_402</t>
  </si>
  <si>
    <t>Ẩn mã lỗi vào mục chi tiết</t>
  </si>
  <si>
    <t>D11</t>
  </si>
  <si>
    <t>C16</t>
  </si>
  <si>
    <t>Nielsen #4 Consistency</t>
  </si>
  <si>
    <t>Nhãn nút khác với flow và handoff</t>
  </si>
  <si>
    <t>Thống nhất một bộ nhãn</t>
  </si>
  <si>
    <t>D16</t>
  </si>
  <si>
    <t>C17</t>
  </si>
  <si>
    <t>Mã nhận đồ #A-204 trong ảnh, #A-28 trong flow</t>
  </si>
  <si>
    <t>Dùng một mã mẫu thống nhất</t>
  </si>
  <si>
    <t>D17</t>
  </si>
  <si>
    <t>C18</t>
  </si>
  <si>
    <t>Nielsen #7 Flexibility (gợi ý mở rộng)</t>
  </si>
  <si>
    <t>Gợi ý</t>
  </si>
  <si>
    <t>Đề xuất đăng nhập email sinh viên để tích điểm</t>
  </si>
  <si>
    <t>Thêm đăng nhập tích điểm</t>
  </si>
  <si>
    <t>D12</t>
  </si>
  <si>
    <t>Loại</t>
  </si>
  <si>
    <t>Quyết định</t>
  </si>
  <si>
    <t>Lý do (persona / heuristic / ràng buộc)</t>
  </si>
  <si>
    <t>Version áp dụng</t>
  </si>
  <si>
    <t>Trạng thái Figma</t>
  </si>
  <si>
    <t>Số phát hiện dẫn tới</t>
  </si>
  <si>
    <t>Accept</t>
  </si>
  <si>
    <t>Badge trạng thái Kiosk trên Home</t>
  </si>
  <si>
    <t>Nielsen #1; tránh chọn món xong mới biết quầy quá tải</t>
  </si>
  <si>
    <t>Đã có trong Figma</t>
  </si>
  <si>
    <t>Giá topping cộng dồn trên nút CTA</t>
  </si>
  <si>
    <t>Nielsen #6; persona có ngân sách giới hạn</t>
  </si>
  <si>
    <t>Lỗi voucher có icon + lý do</t>
  </si>
  <si>
    <t>Nielsen #9; WCAG 1.4.1</t>
  </si>
  <si>
    <t>Modify</t>
  </si>
  <si>
    <t>Chỉ cho huỷ trong 60 giây đầu, có dialog</t>
  </si>
  <si>
    <t>Ràng buộc bếp (P03)</t>
  </si>
  <si>
    <t>Icon lọc danh mục 48 × 48 dp</t>
  </si>
  <si>
    <t>WCAG 2.5.5; thao tác một tay</t>
  </si>
  <si>
    <t>Cần kiểm trong Figma</t>
  </si>
  <si>
    <t>Giữ nền cam, chữ nút nâu #622B14 (5,23:1)</t>
  </si>
  <si>
    <t>WCAG 1.4.3; dùng ngoài nắng</t>
  </si>
  <si>
    <t>Chưa cập nhật Figma</t>
  </si>
  <si>
    <t>Bỏ số liệu không nguồn khỏi persona</t>
  </si>
  <si>
    <t>Persona Guideline: bằng chứng hoặc nhãn giả định</t>
  </si>
  <si>
    <t>Chỉ tài liệu</t>
  </si>
  <si>
    <t>Persona dùng Android tầm trung</t>
  </si>
  <si>
    <t>Nhất quán với khung 360 dp</t>
  </si>
  <si>
    <t>Ghi "ngại cài app" là rủi ro, giữ web làm dự phòng</t>
  </si>
  <si>
    <t>Nhóm mục tiêu không phản đối app</t>
  </si>
  <si>
    <t>Tách Giỏ hàng (SCR-05) và Thanh toán (SCR-06)</t>
  </si>
  <si>
    <t>Nielsen #8; IA đã định nghĩa 2 màn</t>
  </si>
  <si>
    <t>Đã tách trong Figma; cần xuất lại PNG</t>
  </si>
  <si>
    <t>Mã lỗi đưa vào dòng "Mã tham chiếu" nhỏ</t>
  </si>
  <si>
    <t>Nielsen #9; quầy vẫn tra cứu được</t>
  </si>
  <si>
    <t>Reject</t>
  </si>
  <si>
    <t>Không thêm đăng nhập tích điểm</t>
  </si>
  <si>
    <t>A1, A3 bỏ app nếu bắt đăng ký; mục tiêu &lt; 35 giây</t>
  </si>
  <si>
    <t>Không đổi</t>
  </si>
  <si>
    <t>Nút +/- vùng chạm 48 dp, tách khỏi CTA</t>
  </si>
  <si>
    <t>WCAG 2.5.5; một tay</t>
  </si>
  <si>
    <t>Dùng ảnh món thật của quán</t>
  </si>
  <si>
    <t>Nielsen #2, #6; persona chọn món bằng ảnh</t>
  </si>
  <si>
    <t>Chữ phụ tối thiểu 14 sp</t>
  </si>
  <si>
    <t>Chuẩn C4; P02 phải phóng to chữ</t>
  </si>
  <si>
    <t>Nhãn "Thử lại thanh toán" / "Trả tiền mặt tại quầy"</t>
  </si>
  <si>
    <t>Nielsen #4; đúng hai lối thoát của Flow 3</t>
  </si>
  <si>
    <t>Mã nhận đồ mẫu thống nhất #A-204</t>
  </si>
  <si>
    <t>Nielsen #4</t>
  </si>
  <si>
    <t>Sửa tài liệu flow</t>
  </si>
  <si>
    <t>Problem statement chỉ nói vấn đề + How might we</t>
  </si>
  <si>
    <t>Câu cũ khoá hướng giải pháp</t>
  </si>
  <si>
    <t>Thêm chỉ số kết quả (giả thuyết)</t>
  </si>
  <si>
    <t>Chỉ số 35 giây không đo vấn đề gốc</t>
  </si>
  <si>
    <t>Không chuyển sang web QR; giữ làm dự phòng</t>
  </si>
  <si>
    <t>Ràng buộc đề Lab 2: app mobile + handoff Flutter</t>
  </si>
  <si>
    <t>Thêm giả định H7 năng lực bếp + rủi ro R3</t>
  </si>
  <si>
    <t>Có thể làm hỏng cả ý tưởng</t>
  </si>
  <si>
    <t>Xếp căn tin đông vào Unknown</t>
  </si>
  <si>
    <t>Chưa có quan sát</t>
  </si>
  <si>
    <t>Ghi ngoại lệ Lab 2 + kế hoạch, không bịa dữ liệu</t>
  </si>
  <si>
    <t>Chuẩn chung C3</t>
  </si>
  <si>
    <t>Giữ Flow 3, hạ tin cậy INS-06, thêm RQ5</t>
  </si>
  <si>
    <t>Đề bắt buộc flow lỗi; QR có giới hạn thời gian</t>
  </si>
  <si>
    <t>Ghi rõ nguồn giả lập trong bảng đối thủ</t>
  </si>
  <si>
    <t>Ghi thiên lệch vòng tròn vào giới hạn</t>
  </si>
  <si>
    <t>Bỏ câu hỏi dẫn dắt ở kịch bản người thật</t>
  </si>
  <si>
    <t>Câu hỏi giả định sẵn giải pháp</t>
  </si>
  <si>
    <t>Giữ dialog, mặc định Lấy ngay (F1 còn 7 chạm)</t>
  </si>
  <si>
    <t>Nielsen #5 + ràng buộc huỷ 60 giây</t>
  </si>
  <si>
    <t>Thêm vào giỏ → thẳng S05 + snackbar</t>
  </si>
  <si>
    <t>Ít chạm nhất cho P01</t>
  </si>
  <si>
    <t>Thêm trạng thái Card Tạm hết</t>
  </si>
  <si>
    <t>Pain point còn món không của P01</t>
  </si>
  <si>
    <t>Giữ tiền mặt, badge Trả tại quầy, thêm H8</t>
  </si>
  <si>
    <t>Rủi ro khách bỏ đơn</t>
  </si>
  <si>
    <t>Chỉ số áp dụng cho người đã dùng app</t>
  </si>
  <si>
    <t>Đo lường rõ ràng</t>
  </si>
  <si>
    <t>Chọn concept A, mượn khối trạng thái + banner nhỏ của B</t>
  </si>
  <si>
    <t>Ảnh món + thương hiệu (A), mật độ + trạng thái (B)</t>
  </si>
  <si>
    <t>D34</t>
  </si>
  <si>
    <t>Loại concept C nền tối</t>
  </si>
  <si>
    <t>Kém ngoài nắng; đề bắt buộc light theme</t>
  </si>
  <si>
    <t>Ghi rõ nguồn concept, so cùng nội dung</t>
  </si>
  <si>
    <t>So sánh công bằng</t>
  </si>
  <si>
    <t>12 sp chỉ cho nhãn tab có icon</t>
  </si>
  <si>
    <t>Chuẩn C4 ≥ 14 sp cho nội dung</t>
  </si>
  <si>
    <t>Quy tắc ảnh món 1:1 + fallback</t>
  </si>
  <si>
    <t>Persona chọn món bằng ảnh</t>
  </si>
  <si>
    <t>Bỏ sao đánh giá; giá gạch chỉ khi khuyến mãi</t>
  </si>
  <si>
    <t>Test Bớt; P02 cần thấy giảm giá</t>
  </si>
  <si>
    <t>S06-ERR lời giải thích 2 dòng</t>
  </si>
  <si>
    <t>Nielsen #9, persona đang vội</t>
  </si>
  <si>
    <t>Thêm Loading, Tạm hết, quán đóng, lỗi mã vào Figma</t>
  </si>
  <si>
    <t>Critical G4</t>
  </si>
  <si>
    <t>Loading không hotspot; Back S07 về S02</t>
  </si>
  <si>
    <t>Tránh hỏng khi demo</t>
  </si>
  <si>
    <t>Điểm Stitch là mức nền; chấm lại trên Figma</t>
  </si>
  <si>
    <t>Gate G4 yêu cầu bản cuối</t>
  </si>
  <si>
    <t>Phát hiện theo vòng đánh giá</t>
  </si>
  <si>
    <t>Nhóm</t>
  </si>
  <si>
    <t>Số lượng</t>
  </si>
  <si>
    <t>Tổng</t>
  </si>
  <si>
    <t>Phát hiện theo mức độ</t>
  </si>
  <si>
    <t>Quyết định theo loại</t>
  </si>
  <si>
    <t>Quyết định theo trạng thái Figma</t>
  </si>
  <si>
    <t>Phát hiện chưa có quyết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</si>
</sst>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3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sz val="10"/>
      <color rgb="FF008000"/>
      <name val="Arial"/>
    </font>
    <font>
      <b/>
      <sz val="11"/>
      <name val="Arial"/>
    </font>
    <font>
      <sz val="11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622B14"/>
      </patternFill>
    </fill>
    <fill>
      <patternFill patternType="solid">
        <fgColor rgb="FFFFF5E5"/>
      </patternFill>
    </fill>
  </fills>
  <borders count="2">
    <border>
      <left/>
      <right/>
      <top/>
      <bottom/>
      <diagonal/>
    </border>
    <border>
      <left style="thin">
        <color rgb="FFD9C7B3"/>
      </left>
      <right style="thin">
        <color rgb="FFD9C7B3"/>
      </right>
      <top style="thin">
        <color rgb="FFD9C7B3"/>
      </top>
      <bottom style="thin">
        <color rgb="FFD9C7B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6" fillId="0" borderId="0" xfId="0" applyFont="1"/>
    <xf numFmtId="0" fontId="4" fillId="2" borderId="1" xfId="0" applyFont="1" applyFill="1" applyBorder="1"/>
    <xf numFmtId="0" fontId="7" fillId="0" borderId="1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3.8" x14ac:dyDescent="0.25"/>
  <cols>
    <col min="1" max="1" width="16" customWidth="1"/>
    <col min="2" max="2" width="110" customWidth="1"/>
  </cols>
  <sheetData>
    <row r="1" spans="1:2" ht="16.8" x14ac:dyDescent="0.3">
      <c r="A1" s="1" t="s">
        <v>0</v>
      </c>
      <c r="B1" s="2"/>
    </row>
    <row r="2" spans="1:2" x14ac:dyDescent="0.25">
      <c r="A2" s="3"/>
      <c r="B2" s="2"/>
    </row>
    <row r="3" spans="1:2" x14ac:dyDescent="0.25">
      <c r="A3" s="3" t="s">
        <v>1</v>
      </c>
      <c r="B3" s="4" t="s">
        <v>2</v>
      </c>
    </row>
    <row r="4" spans="1:2" x14ac:dyDescent="0.25">
      <c r="A4" s="3" t="s">
        <v>3</v>
      </c>
      <c r="B4" s="2" t="s">
        <v>4</v>
      </c>
    </row>
    <row r="5" spans="1:2" ht="26.4" x14ac:dyDescent="0.25">
      <c r="A5" s="3" t="s">
        <v>5</v>
      </c>
      <c r="B5" s="2" t="s">
        <v>6</v>
      </c>
    </row>
    <row r="6" spans="1:2" x14ac:dyDescent="0.25">
      <c r="A6" s="3" t="s">
        <v>7</v>
      </c>
      <c r="B6" s="2" t="s">
        <v>8</v>
      </c>
    </row>
    <row r="7" spans="1:2" x14ac:dyDescent="0.25">
      <c r="A7" s="3" t="s">
        <v>9</v>
      </c>
      <c r="B7" s="2" t="s">
        <v>10</v>
      </c>
    </row>
    <row r="8" spans="1:2" x14ac:dyDescent="0.25">
      <c r="A8" s="3"/>
      <c r="B8" s="2"/>
    </row>
    <row r="9" spans="1:2" x14ac:dyDescent="0.25">
      <c r="A9" s="3" t="s">
        <v>11</v>
      </c>
      <c r="B9" s="2" t="s">
        <v>12</v>
      </c>
    </row>
    <row r="10" spans="1:2" x14ac:dyDescent="0.25">
      <c r="A10" s="3" t="s">
        <v>13</v>
      </c>
      <c r="B10" s="2" t="s">
        <v>14</v>
      </c>
    </row>
    <row r="11" spans="1:2" ht="26.4" x14ac:dyDescent="0.25">
      <c r="A11" s="3" t="s">
        <v>15</v>
      </c>
      <c r="B11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8" customWidth="1"/>
    <col min="2" max="2" width="20" customWidth="1"/>
    <col min="3" max="3" width="18" customWidth="1"/>
    <col min="4" max="4" width="22" customWidth="1"/>
    <col min="5" max="5" width="40" customWidth="1"/>
    <col min="6" max="6" width="28" customWidth="1"/>
    <col min="7" max="7" width="22" customWidth="1"/>
    <col min="8" max="8" width="32" customWidth="1"/>
    <col min="9" max="9" width="24" customWidth="1"/>
  </cols>
  <sheetData>
    <row r="1" spans="1:9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</row>
    <row r="2" spans="1:9" ht="26.4" x14ac:dyDescent="0.25">
      <c r="A2" s="6" t="s">
        <v>26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</row>
    <row r="3" spans="1:9" ht="26.4" x14ac:dyDescent="0.25">
      <c r="A3" s="6" t="s">
        <v>35</v>
      </c>
      <c r="B3" s="6" t="s">
        <v>36</v>
      </c>
      <c r="C3" s="6" t="s">
        <v>28</v>
      </c>
      <c r="D3" s="6" t="s">
        <v>29</v>
      </c>
      <c r="E3" s="6" t="s">
        <v>37</v>
      </c>
      <c r="F3" s="6" t="s">
        <v>38</v>
      </c>
      <c r="G3" s="6" t="s">
        <v>32</v>
      </c>
      <c r="H3" s="6" t="s">
        <v>39</v>
      </c>
      <c r="I3" s="6" t="s">
        <v>40</v>
      </c>
    </row>
    <row r="4" spans="1:9" ht="26.4" x14ac:dyDescent="0.25">
      <c r="A4" s="6" t="s">
        <v>41</v>
      </c>
      <c r="B4" s="6" t="s">
        <v>42</v>
      </c>
      <c r="C4" s="6" t="s">
        <v>28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</row>
    <row r="5" spans="1:9" ht="26.4" x14ac:dyDescent="0.25">
      <c r="A5" s="6" t="s">
        <v>49</v>
      </c>
      <c r="B5" s="6" t="s">
        <v>50</v>
      </c>
      <c r="C5" s="6" t="s">
        <v>51</v>
      </c>
      <c r="D5" s="6" t="s">
        <v>43</v>
      </c>
      <c r="E5" s="6" t="s">
        <v>52</v>
      </c>
      <c r="F5" s="6" t="s">
        <v>53</v>
      </c>
      <c r="G5" s="6" t="s">
        <v>54</v>
      </c>
      <c r="H5" s="6" t="s">
        <v>55</v>
      </c>
      <c r="I5" s="6" t="s">
        <v>34</v>
      </c>
    </row>
    <row r="6" spans="1:9" ht="26.4" x14ac:dyDescent="0.25">
      <c r="A6" s="6" t="s">
        <v>56</v>
      </c>
      <c r="B6" s="6" t="s">
        <v>57</v>
      </c>
      <c r="C6" s="6" t="s">
        <v>58</v>
      </c>
      <c r="D6" s="6" t="s">
        <v>43</v>
      </c>
      <c r="E6" s="6" t="s">
        <v>59</v>
      </c>
      <c r="F6" s="6" t="s">
        <v>60</v>
      </c>
      <c r="G6" s="6" t="s">
        <v>46</v>
      </c>
      <c r="H6" s="6" t="s">
        <v>61</v>
      </c>
      <c r="I6" s="6" t="s">
        <v>62</v>
      </c>
    </row>
    <row r="7" spans="1:9" ht="26.4" x14ac:dyDescent="0.25">
      <c r="A7" s="6" t="s">
        <v>63</v>
      </c>
      <c r="B7" s="6" t="s">
        <v>64</v>
      </c>
      <c r="C7" s="6" t="s">
        <v>65</v>
      </c>
      <c r="D7" s="6" t="s">
        <v>66</v>
      </c>
      <c r="E7" s="6" t="s">
        <v>67</v>
      </c>
      <c r="F7" s="6" t="s">
        <v>32</v>
      </c>
      <c r="G7" s="6" t="s">
        <v>68</v>
      </c>
      <c r="H7" s="6" t="s">
        <v>69</v>
      </c>
      <c r="I7" s="6" t="s">
        <v>34</v>
      </c>
    </row>
    <row r="8" spans="1:9" x14ac:dyDescent="0.25">
      <c r="A8" s="6" t="s">
        <v>70</v>
      </c>
      <c r="B8" s="6" t="s">
        <v>71</v>
      </c>
      <c r="C8" s="6" t="s">
        <v>65</v>
      </c>
      <c r="D8" s="6" t="s">
        <v>72</v>
      </c>
      <c r="E8" s="6" t="s">
        <v>73</v>
      </c>
      <c r="F8" s="6" t="s">
        <v>74</v>
      </c>
      <c r="G8" s="6" t="s">
        <v>75</v>
      </c>
      <c r="H8" s="6" t="s">
        <v>76</v>
      </c>
      <c r="I8" s="6" t="s">
        <v>77</v>
      </c>
    </row>
    <row r="9" spans="1:9" x14ac:dyDescent="0.25">
      <c r="A9" s="6" t="s">
        <v>78</v>
      </c>
      <c r="B9" s="6" t="s">
        <v>79</v>
      </c>
      <c r="C9" s="6" t="s">
        <v>65</v>
      </c>
      <c r="D9" s="6" t="s">
        <v>72</v>
      </c>
      <c r="E9" s="6" t="s">
        <v>80</v>
      </c>
      <c r="F9" s="6" t="s">
        <v>81</v>
      </c>
      <c r="G9" s="6" t="s">
        <v>82</v>
      </c>
      <c r="H9" s="6" t="s">
        <v>83</v>
      </c>
      <c r="I9" s="6" t="s">
        <v>77</v>
      </c>
    </row>
    <row r="10" spans="1:9" x14ac:dyDescent="0.25">
      <c r="A10" s="6" t="s">
        <v>84</v>
      </c>
      <c r="B10" s="6" t="s">
        <v>85</v>
      </c>
      <c r="C10" s="6" t="s">
        <v>65</v>
      </c>
      <c r="D10" s="6" t="s">
        <v>72</v>
      </c>
      <c r="E10" s="6" t="s">
        <v>86</v>
      </c>
      <c r="F10" s="6" t="s">
        <v>87</v>
      </c>
      <c r="G10" s="6" t="s">
        <v>88</v>
      </c>
      <c r="H10" s="6" t="s">
        <v>89</v>
      </c>
      <c r="I10" s="6" t="s">
        <v>77</v>
      </c>
    </row>
    <row r="11" spans="1:9" ht="26.4" x14ac:dyDescent="0.25">
      <c r="A11" s="6" t="s">
        <v>90</v>
      </c>
      <c r="B11" s="6" t="s">
        <v>91</v>
      </c>
      <c r="C11" s="6" t="s">
        <v>92</v>
      </c>
      <c r="D11" s="6" t="s">
        <v>93</v>
      </c>
      <c r="E11" s="6" t="s">
        <v>94</v>
      </c>
      <c r="F11" s="6" t="s">
        <v>32</v>
      </c>
      <c r="G11" s="6" t="s">
        <v>95</v>
      </c>
      <c r="H11" s="6" t="s">
        <v>96</v>
      </c>
      <c r="I11" s="6" t="s">
        <v>97</v>
      </c>
    </row>
    <row r="12" spans="1:9" ht="26.4" x14ac:dyDescent="0.25">
      <c r="A12" s="6" t="s">
        <v>98</v>
      </c>
      <c r="B12" s="6" t="s">
        <v>99</v>
      </c>
      <c r="C12" s="6" t="s">
        <v>100</v>
      </c>
      <c r="D12" s="6" t="s">
        <v>101</v>
      </c>
      <c r="E12" s="6" t="s">
        <v>102</v>
      </c>
      <c r="F12" s="6" t="s">
        <v>103</v>
      </c>
      <c r="G12" s="6" t="s">
        <v>104</v>
      </c>
      <c r="H12" s="6" t="s">
        <v>105</v>
      </c>
      <c r="I12" s="6" t="s">
        <v>106</v>
      </c>
    </row>
  </sheetData>
  <autoFilter ref="A1:I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9" customWidth="1"/>
    <col min="2" max="4" width="18" customWidth="1"/>
    <col min="5" max="5" width="10" customWidth="1"/>
    <col min="6" max="6" width="16" customWidth="1"/>
    <col min="7" max="7" width="28" customWidth="1"/>
    <col min="8" max="8" width="10" customWidth="1"/>
    <col min="9" max="9" width="40" customWidth="1"/>
    <col min="10" max="10" width="32" customWidth="1"/>
    <col min="11" max="11" width="9" customWidth="1"/>
    <col min="12" max="12" width="14" customWidth="1"/>
  </cols>
  <sheetData>
    <row r="1" spans="1:12" ht="27.6" x14ac:dyDescent="0.25">
      <c r="A1" s="5" t="s">
        <v>107</v>
      </c>
      <c r="B1" s="5" t="s">
        <v>108</v>
      </c>
      <c r="C1" s="5" t="s">
        <v>109</v>
      </c>
      <c r="D1" s="5" t="s">
        <v>20</v>
      </c>
      <c r="E1" s="5" t="s">
        <v>110</v>
      </c>
      <c r="F1" s="5" t="s">
        <v>111</v>
      </c>
      <c r="G1" s="5" t="s">
        <v>112</v>
      </c>
      <c r="H1" s="5" t="s">
        <v>113</v>
      </c>
      <c r="I1" s="5" t="s">
        <v>114</v>
      </c>
      <c r="J1" s="5" t="s">
        <v>115</v>
      </c>
      <c r="K1" s="5" t="s">
        <v>116</v>
      </c>
      <c r="L1" s="5" t="s">
        <v>117</v>
      </c>
    </row>
    <row r="2" spans="1:12" ht="26.4" x14ac:dyDescent="0.25">
      <c r="A2" s="6" t="s">
        <v>118</v>
      </c>
      <c r="B2" s="6" t="s">
        <v>119</v>
      </c>
      <c r="C2" s="6" t="s">
        <v>120</v>
      </c>
      <c r="D2" s="6" t="s">
        <v>29</v>
      </c>
      <c r="E2" s="6" t="s">
        <v>26</v>
      </c>
      <c r="F2" s="6" t="s">
        <v>121</v>
      </c>
      <c r="G2" s="6" t="s">
        <v>122</v>
      </c>
      <c r="H2" s="6" t="s">
        <v>123</v>
      </c>
      <c r="I2" s="6" t="s">
        <v>124</v>
      </c>
      <c r="J2" s="6" t="s">
        <v>125</v>
      </c>
      <c r="K2" s="6" t="s">
        <v>126</v>
      </c>
      <c r="L2" s="7" t="str">
        <f>IFERROR(INDEX(Decisions!$B$2:$B$43,MATCH(K2,Decisions!$A$2:$A$43,0)),"Chưa quyết định")</f>
        <v>Modify</v>
      </c>
    </row>
    <row r="3" spans="1:12" ht="26.4" x14ac:dyDescent="0.25">
      <c r="A3" s="6" t="s">
        <v>127</v>
      </c>
      <c r="B3" s="6" t="s">
        <v>119</v>
      </c>
      <c r="C3" s="6" t="s">
        <v>120</v>
      </c>
      <c r="D3" s="6" t="s">
        <v>29</v>
      </c>
      <c r="E3" s="6" t="s">
        <v>26</v>
      </c>
      <c r="F3" s="6" t="s">
        <v>128</v>
      </c>
      <c r="G3" s="6" t="s">
        <v>122</v>
      </c>
      <c r="H3" s="6" t="s">
        <v>129</v>
      </c>
      <c r="I3" s="6" t="s">
        <v>130</v>
      </c>
      <c r="J3" s="6" t="s">
        <v>131</v>
      </c>
      <c r="K3" s="6" t="s">
        <v>132</v>
      </c>
      <c r="L3" s="7" t="str">
        <f>IFERROR(INDEX(Decisions!$B$2:$B$43,MATCH(K3,Decisions!$A$2:$A$43,0)),"Chưa quyết định")</f>
        <v>Accept</v>
      </c>
    </row>
    <row r="4" spans="1:12" ht="26.4" x14ac:dyDescent="0.25">
      <c r="A4" s="6" t="s">
        <v>133</v>
      </c>
      <c r="B4" s="6" t="s">
        <v>119</v>
      </c>
      <c r="C4" s="6" t="s">
        <v>120</v>
      </c>
      <c r="D4" s="6" t="s">
        <v>29</v>
      </c>
      <c r="E4" s="6" t="s">
        <v>26</v>
      </c>
      <c r="F4" s="6" t="s">
        <v>134</v>
      </c>
      <c r="G4" s="6" t="s">
        <v>135</v>
      </c>
      <c r="H4" s="6" t="s">
        <v>129</v>
      </c>
      <c r="I4" s="6" t="s">
        <v>136</v>
      </c>
      <c r="J4" s="6" t="s">
        <v>137</v>
      </c>
      <c r="K4" s="6" t="s">
        <v>138</v>
      </c>
      <c r="L4" s="7" t="str">
        <f>IFERROR(INDEX(Decisions!$B$2:$B$43,MATCH(K4,Decisions!$A$2:$A$43,0)),"Chưa quyết định")</f>
        <v>Reject</v>
      </c>
    </row>
    <row r="5" spans="1:12" x14ac:dyDescent="0.25">
      <c r="A5" s="6" t="s">
        <v>139</v>
      </c>
      <c r="B5" s="6" t="s">
        <v>119</v>
      </c>
      <c r="C5" s="6" t="s">
        <v>120</v>
      </c>
      <c r="D5" s="6" t="s">
        <v>29</v>
      </c>
      <c r="E5" s="6" t="s">
        <v>26</v>
      </c>
      <c r="F5" s="6" t="s">
        <v>140</v>
      </c>
      <c r="G5" s="6" t="s">
        <v>141</v>
      </c>
      <c r="H5" s="6" t="s">
        <v>123</v>
      </c>
      <c r="I5" s="6" t="s">
        <v>142</v>
      </c>
      <c r="J5" s="6" t="s">
        <v>143</v>
      </c>
      <c r="K5" s="6" t="s">
        <v>144</v>
      </c>
      <c r="L5" s="7" t="str">
        <f>IFERROR(INDEX(Decisions!$B$2:$B$43,MATCH(K5,Decisions!$A$2:$A$43,0)),"Chưa quyết định")</f>
        <v>Accept</v>
      </c>
    </row>
    <row r="6" spans="1:12" x14ac:dyDescent="0.25">
      <c r="A6" s="6" t="s">
        <v>145</v>
      </c>
      <c r="B6" s="6" t="s">
        <v>119</v>
      </c>
      <c r="C6" s="6" t="s">
        <v>120</v>
      </c>
      <c r="D6" s="6" t="s">
        <v>29</v>
      </c>
      <c r="E6" s="6" t="s">
        <v>26</v>
      </c>
      <c r="F6" s="6" t="s">
        <v>140</v>
      </c>
      <c r="G6" s="6" t="s">
        <v>141</v>
      </c>
      <c r="H6" s="6" t="s">
        <v>146</v>
      </c>
      <c r="I6" s="6" t="s">
        <v>147</v>
      </c>
      <c r="J6" s="6" t="s">
        <v>148</v>
      </c>
      <c r="K6" s="6" t="s">
        <v>149</v>
      </c>
      <c r="L6" s="7" t="str">
        <f>IFERROR(INDEX(Decisions!$B$2:$B$43,MATCH(K6,Decisions!$A$2:$A$43,0)),"Chưa quyết định")</f>
        <v>Accept</v>
      </c>
    </row>
    <row r="7" spans="1:12" ht="26.4" x14ac:dyDescent="0.25">
      <c r="A7" s="6" t="s">
        <v>150</v>
      </c>
      <c r="B7" s="6" t="s">
        <v>151</v>
      </c>
      <c r="C7" s="6" t="s">
        <v>120</v>
      </c>
      <c r="D7" s="6" t="s">
        <v>29</v>
      </c>
      <c r="E7" s="6" t="s">
        <v>35</v>
      </c>
      <c r="F7" s="6" t="s">
        <v>152</v>
      </c>
      <c r="G7" s="6" t="s">
        <v>153</v>
      </c>
      <c r="H7" s="6" t="s">
        <v>123</v>
      </c>
      <c r="I7" s="6" t="s">
        <v>154</v>
      </c>
      <c r="J7" s="6" t="s">
        <v>155</v>
      </c>
      <c r="K7" s="6" t="s">
        <v>156</v>
      </c>
      <c r="L7" s="7" t="str">
        <f>IFERROR(INDEX(Decisions!$B$2:$B$43,MATCH(K7,Decisions!$A$2:$A$43,0)),"Chưa quyết định")</f>
        <v>Accept</v>
      </c>
    </row>
    <row r="8" spans="1:12" x14ac:dyDescent="0.25">
      <c r="A8" s="6" t="s">
        <v>157</v>
      </c>
      <c r="B8" s="6" t="s">
        <v>151</v>
      </c>
      <c r="C8" s="6" t="s">
        <v>120</v>
      </c>
      <c r="D8" s="6" t="s">
        <v>29</v>
      </c>
      <c r="E8" s="6" t="s">
        <v>35</v>
      </c>
      <c r="F8" s="6" t="s">
        <v>158</v>
      </c>
      <c r="G8" s="6" t="s">
        <v>159</v>
      </c>
      <c r="H8" s="6" t="s">
        <v>123</v>
      </c>
      <c r="I8" s="6" t="s">
        <v>160</v>
      </c>
      <c r="J8" s="6" t="s">
        <v>161</v>
      </c>
      <c r="K8" s="6" t="s">
        <v>162</v>
      </c>
      <c r="L8" s="7" t="str">
        <f>IFERROR(INDEX(Decisions!$B$2:$B$43,MATCH(K8,Decisions!$A$2:$A$43,0)),"Chưa quyết định")</f>
        <v>Modify</v>
      </c>
    </row>
    <row r="9" spans="1:12" x14ac:dyDescent="0.25">
      <c r="A9" s="6" t="s">
        <v>163</v>
      </c>
      <c r="B9" s="6" t="s">
        <v>151</v>
      </c>
      <c r="C9" s="6" t="s">
        <v>120</v>
      </c>
      <c r="D9" s="6" t="s">
        <v>29</v>
      </c>
      <c r="E9" s="6" t="s">
        <v>35</v>
      </c>
      <c r="F9" s="6" t="s">
        <v>164</v>
      </c>
      <c r="G9" s="6" t="s">
        <v>165</v>
      </c>
      <c r="H9" s="6" t="s">
        <v>129</v>
      </c>
      <c r="I9" s="6" t="s">
        <v>166</v>
      </c>
      <c r="J9" s="6" t="s">
        <v>167</v>
      </c>
      <c r="K9" s="6" t="s">
        <v>168</v>
      </c>
      <c r="L9" s="7" t="str">
        <f>IFERROR(INDEX(Decisions!$B$2:$B$43,MATCH(K9,Decisions!$A$2:$A$43,0)),"Chưa quyết định")</f>
        <v>Accept</v>
      </c>
    </row>
    <row r="10" spans="1:12" ht="26.4" x14ac:dyDescent="0.25">
      <c r="A10" s="6" t="s">
        <v>169</v>
      </c>
      <c r="B10" s="6" t="s">
        <v>151</v>
      </c>
      <c r="C10" s="6" t="s">
        <v>120</v>
      </c>
      <c r="D10" s="6" t="s">
        <v>29</v>
      </c>
      <c r="E10" s="6" t="s">
        <v>35</v>
      </c>
      <c r="F10" s="6" t="s">
        <v>170</v>
      </c>
      <c r="G10" s="6" t="s">
        <v>171</v>
      </c>
      <c r="H10" s="6" t="s">
        <v>129</v>
      </c>
      <c r="I10" s="6" t="s">
        <v>172</v>
      </c>
      <c r="J10" s="6" t="s">
        <v>173</v>
      </c>
      <c r="K10" s="6" t="s">
        <v>174</v>
      </c>
      <c r="L10" s="7" t="str">
        <f>IFERROR(INDEX(Decisions!$B$2:$B$43,MATCH(K10,Decisions!$A$2:$A$43,0)),"Chưa quyết định")</f>
        <v>Accept</v>
      </c>
    </row>
    <row r="11" spans="1:12" ht="26.4" x14ac:dyDescent="0.25">
      <c r="A11" s="6" t="s">
        <v>175</v>
      </c>
      <c r="B11" s="6" t="s">
        <v>151</v>
      </c>
      <c r="C11" s="6" t="s">
        <v>120</v>
      </c>
      <c r="D11" s="6" t="s">
        <v>29</v>
      </c>
      <c r="E11" s="6" t="s">
        <v>35</v>
      </c>
      <c r="F11" s="6" t="s">
        <v>176</v>
      </c>
      <c r="G11" s="6" t="s">
        <v>177</v>
      </c>
      <c r="H11" s="6" t="s">
        <v>146</v>
      </c>
      <c r="I11" s="6" t="s">
        <v>178</v>
      </c>
      <c r="J11" s="6" t="s">
        <v>179</v>
      </c>
      <c r="K11" s="6" t="s">
        <v>180</v>
      </c>
      <c r="L11" s="7" t="str">
        <f>IFERROR(INDEX(Decisions!$B$2:$B$43,MATCH(K11,Decisions!$A$2:$A$43,0)),"Chưa quyết định")</f>
        <v>Accept</v>
      </c>
    </row>
    <row r="12" spans="1:12" x14ac:dyDescent="0.25">
      <c r="A12" s="6" t="s">
        <v>181</v>
      </c>
      <c r="B12" s="6" t="s">
        <v>182</v>
      </c>
      <c r="C12" s="6" t="s">
        <v>120</v>
      </c>
      <c r="D12" s="6" t="s">
        <v>43</v>
      </c>
      <c r="E12" s="6" t="s">
        <v>41</v>
      </c>
      <c r="F12" s="6" t="s">
        <v>183</v>
      </c>
      <c r="G12" s="6" t="s">
        <v>184</v>
      </c>
      <c r="H12" s="6" t="s">
        <v>129</v>
      </c>
      <c r="I12" s="6" t="s">
        <v>185</v>
      </c>
      <c r="J12" s="6" t="s">
        <v>186</v>
      </c>
      <c r="K12" s="6" t="s">
        <v>187</v>
      </c>
      <c r="L12" s="7" t="str">
        <f>IFERROR(INDEX(Decisions!$B$2:$B$43,MATCH(K12,Decisions!$A$2:$A$43,0)),"Chưa quyết định")</f>
        <v>Modify</v>
      </c>
    </row>
    <row r="13" spans="1:12" x14ac:dyDescent="0.25">
      <c r="A13" s="6" t="s">
        <v>188</v>
      </c>
      <c r="B13" s="6" t="s">
        <v>182</v>
      </c>
      <c r="C13" s="6" t="s">
        <v>120</v>
      </c>
      <c r="D13" s="6" t="s">
        <v>43</v>
      </c>
      <c r="E13" s="6" t="s">
        <v>41</v>
      </c>
      <c r="F13" s="6" t="s">
        <v>189</v>
      </c>
      <c r="G13" s="6" t="s">
        <v>190</v>
      </c>
      <c r="H13" s="6" t="s">
        <v>129</v>
      </c>
      <c r="I13" s="6" t="s">
        <v>191</v>
      </c>
      <c r="J13" s="6" t="s">
        <v>192</v>
      </c>
      <c r="K13" s="6" t="s">
        <v>193</v>
      </c>
      <c r="L13" s="7" t="str">
        <f>IFERROR(INDEX(Decisions!$B$2:$B$43,MATCH(K13,Decisions!$A$2:$A$43,0)),"Chưa quyết định")</f>
        <v>Accept</v>
      </c>
    </row>
    <row r="14" spans="1:12" x14ac:dyDescent="0.25">
      <c r="A14" s="6" t="s">
        <v>194</v>
      </c>
      <c r="B14" s="6" t="s">
        <v>182</v>
      </c>
      <c r="C14" s="6" t="s">
        <v>120</v>
      </c>
      <c r="D14" s="6" t="s">
        <v>43</v>
      </c>
      <c r="E14" s="6" t="s">
        <v>41</v>
      </c>
      <c r="F14" s="6" t="s">
        <v>128</v>
      </c>
      <c r="G14" s="6" t="s">
        <v>195</v>
      </c>
      <c r="H14" s="6" t="s">
        <v>146</v>
      </c>
      <c r="I14" s="6" t="s">
        <v>196</v>
      </c>
      <c r="J14" s="6" t="s">
        <v>197</v>
      </c>
      <c r="K14" s="6" t="s">
        <v>198</v>
      </c>
      <c r="L14" s="7" t="str">
        <f>IFERROR(INDEX(Decisions!$B$2:$B$43,MATCH(K14,Decisions!$A$2:$A$43,0)),"Chưa quyết định")</f>
        <v>Accept</v>
      </c>
    </row>
    <row r="15" spans="1:12" x14ac:dyDescent="0.25">
      <c r="A15" s="6" t="s">
        <v>199</v>
      </c>
      <c r="B15" s="6" t="s">
        <v>182</v>
      </c>
      <c r="C15" s="6" t="s">
        <v>120</v>
      </c>
      <c r="D15" s="6" t="s">
        <v>43</v>
      </c>
      <c r="E15" s="6" t="s">
        <v>41</v>
      </c>
      <c r="F15" s="6" t="s">
        <v>200</v>
      </c>
      <c r="G15" s="6" t="s">
        <v>201</v>
      </c>
      <c r="H15" s="6" t="s">
        <v>123</v>
      </c>
      <c r="I15" s="6" t="s">
        <v>202</v>
      </c>
      <c r="J15" s="6" t="s">
        <v>203</v>
      </c>
      <c r="K15" s="6" t="s">
        <v>204</v>
      </c>
      <c r="L15" s="7" t="str">
        <f>IFERROR(INDEX(Decisions!$B$2:$B$43,MATCH(K15,Decisions!$A$2:$A$43,0)),"Chưa quyết định")</f>
        <v>Accept</v>
      </c>
    </row>
    <row r="16" spans="1:12" x14ac:dyDescent="0.25">
      <c r="A16" s="6" t="s">
        <v>205</v>
      </c>
      <c r="B16" s="6" t="s">
        <v>182</v>
      </c>
      <c r="C16" s="6" t="s">
        <v>120</v>
      </c>
      <c r="D16" s="6" t="s">
        <v>43</v>
      </c>
      <c r="E16" s="6" t="s">
        <v>41</v>
      </c>
      <c r="F16" s="6" t="s">
        <v>206</v>
      </c>
      <c r="G16" s="6" t="s">
        <v>207</v>
      </c>
      <c r="H16" s="6" t="s">
        <v>129</v>
      </c>
      <c r="I16" s="6" t="s">
        <v>208</v>
      </c>
      <c r="J16" s="6" t="s">
        <v>209</v>
      </c>
      <c r="K16" s="6" t="s">
        <v>210</v>
      </c>
      <c r="L16" s="7" t="str">
        <f>IFERROR(INDEX(Decisions!$B$2:$B$43,MATCH(K16,Decisions!$A$2:$A$43,0)),"Chưa quyết định")</f>
        <v>Modify</v>
      </c>
    </row>
    <row r="17" spans="1:12" ht="26.4" x14ac:dyDescent="0.25">
      <c r="A17" s="6" t="s">
        <v>211</v>
      </c>
      <c r="B17" s="6" t="s">
        <v>212</v>
      </c>
      <c r="C17" s="6" t="s">
        <v>120</v>
      </c>
      <c r="D17" s="6" t="s">
        <v>43</v>
      </c>
      <c r="E17" s="6" t="s">
        <v>49</v>
      </c>
      <c r="F17" s="6" t="s">
        <v>213</v>
      </c>
      <c r="G17" s="6" t="s">
        <v>214</v>
      </c>
      <c r="H17" s="6" t="s">
        <v>129</v>
      </c>
      <c r="I17" s="6" t="s">
        <v>215</v>
      </c>
      <c r="J17" s="6" t="s">
        <v>216</v>
      </c>
      <c r="K17" s="6" t="s">
        <v>217</v>
      </c>
      <c r="L17" s="7" t="str">
        <f>IFERROR(INDEX(Decisions!$B$2:$B$43,MATCH(K17,Decisions!$A$2:$A$43,0)),"Chưa quyết định")</f>
        <v>Accept</v>
      </c>
    </row>
    <row r="18" spans="1:12" x14ac:dyDescent="0.25">
      <c r="A18" s="6" t="s">
        <v>218</v>
      </c>
      <c r="B18" s="6" t="s">
        <v>212</v>
      </c>
      <c r="C18" s="6" t="s">
        <v>120</v>
      </c>
      <c r="D18" s="6" t="s">
        <v>43</v>
      </c>
      <c r="E18" s="6" t="s">
        <v>49</v>
      </c>
      <c r="F18" s="6" t="s">
        <v>219</v>
      </c>
      <c r="G18" s="6" t="s">
        <v>220</v>
      </c>
      <c r="H18" s="6" t="s">
        <v>129</v>
      </c>
      <c r="I18" s="6" t="s">
        <v>221</v>
      </c>
      <c r="J18" s="6" t="s">
        <v>222</v>
      </c>
      <c r="K18" s="6" t="s">
        <v>223</v>
      </c>
      <c r="L18" s="7" t="str">
        <f>IFERROR(INDEX(Decisions!$B$2:$B$43,MATCH(K18,Decisions!$A$2:$A$43,0)),"Chưa quyết định")</f>
        <v>Modify</v>
      </c>
    </row>
    <row r="19" spans="1:12" x14ac:dyDescent="0.25">
      <c r="A19" s="6" t="s">
        <v>224</v>
      </c>
      <c r="B19" s="6" t="s">
        <v>212</v>
      </c>
      <c r="C19" s="6" t="s">
        <v>120</v>
      </c>
      <c r="D19" s="6" t="s">
        <v>43</v>
      </c>
      <c r="E19" s="6" t="s">
        <v>49</v>
      </c>
      <c r="F19" s="6" t="s">
        <v>225</v>
      </c>
      <c r="G19" s="6" t="s">
        <v>226</v>
      </c>
      <c r="H19" s="6" t="s">
        <v>129</v>
      </c>
      <c r="I19" s="6" t="s">
        <v>227</v>
      </c>
      <c r="J19" s="6" t="s">
        <v>228</v>
      </c>
      <c r="K19" s="6" t="s">
        <v>229</v>
      </c>
      <c r="L19" s="7" t="str">
        <f>IFERROR(INDEX(Decisions!$B$2:$B$43,MATCH(K19,Decisions!$A$2:$A$43,0)),"Chưa quyết định")</f>
        <v>Modify</v>
      </c>
    </row>
    <row r="20" spans="1:12" x14ac:dyDescent="0.25">
      <c r="A20" s="6" t="s">
        <v>230</v>
      </c>
      <c r="B20" s="6" t="s">
        <v>212</v>
      </c>
      <c r="C20" s="6" t="s">
        <v>120</v>
      </c>
      <c r="D20" s="6" t="s">
        <v>43</v>
      </c>
      <c r="E20" s="6" t="s">
        <v>49</v>
      </c>
      <c r="F20" s="6" t="s">
        <v>231</v>
      </c>
      <c r="G20" s="6" t="s">
        <v>232</v>
      </c>
      <c r="H20" s="6" t="s">
        <v>146</v>
      </c>
      <c r="I20" s="6" t="s">
        <v>233</v>
      </c>
      <c r="J20" s="6" t="s">
        <v>234</v>
      </c>
      <c r="K20" s="6" t="s">
        <v>235</v>
      </c>
      <c r="L20" s="7" t="str">
        <f>IFERROR(INDEX(Decisions!$B$2:$B$43,MATCH(K20,Decisions!$A$2:$A$43,0)),"Chưa quyết định")</f>
        <v>Accept</v>
      </c>
    </row>
    <row r="21" spans="1:12" x14ac:dyDescent="0.25">
      <c r="A21" s="6" t="s">
        <v>236</v>
      </c>
      <c r="B21" s="6" t="s">
        <v>212</v>
      </c>
      <c r="C21" s="6" t="s">
        <v>120</v>
      </c>
      <c r="D21" s="6" t="s">
        <v>43</v>
      </c>
      <c r="E21" s="6" t="s">
        <v>49</v>
      </c>
      <c r="F21" s="6" t="s">
        <v>237</v>
      </c>
      <c r="G21" s="6" t="s">
        <v>238</v>
      </c>
      <c r="H21" s="6" t="s">
        <v>129</v>
      </c>
      <c r="I21" s="6" t="s">
        <v>239</v>
      </c>
      <c r="J21" s="6" t="s">
        <v>240</v>
      </c>
      <c r="K21" s="6" t="s">
        <v>229</v>
      </c>
      <c r="L21" s="7" t="str">
        <f>IFERROR(INDEX(Decisions!$B$2:$B$43,MATCH(K21,Decisions!$A$2:$A$43,0)),"Chưa quyết định")</f>
        <v>Modify</v>
      </c>
    </row>
    <row r="22" spans="1:12" ht="26.4" x14ac:dyDescent="0.25">
      <c r="A22" s="6" t="s">
        <v>241</v>
      </c>
      <c r="B22" s="6" t="s">
        <v>242</v>
      </c>
      <c r="C22" s="6" t="s">
        <v>120</v>
      </c>
      <c r="D22" s="6" t="s">
        <v>43</v>
      </c>
      <c r="E22" s="6" t="s">
        <v>56</v>
      </c>
      <c r="F22" s="6" t="s">
        <v>243</v>
      </c>
      <c r="G22" s="6" t="s">
        <v>244</v>
      </c>
      <c r="H22" s="6" t="s">
        <v>129</v>
      </c>
      <c r="I22" s="6" t="s">
        <v>245</v>
      </c>
      <c r="J22" s="6" t="s">
        <v>246</v>
      </c>
      <c r="K22" s="6" t="s">
        <v>247</v>
      </c>
      <c r="L22" s="7" t="str">
        <f>IFERROR(INDEX(Decisions!$B$2:$B$43,MATCH(K22,Decisions!$A$2:$A$43,0)),"Chưa quyết định")</f>
        <v>Accept</v>
      </c>
    </row>
    <row r="23" spans="1:12" ht="26.4" x14ac:dyDescent="0.25">
      <c r="A23" s="6" t="s">
        <v>248</v>
      </c>
      <c r="B23" s="6" t="s">
        <v>242</v>
      </c>
      <c r="C23" s="6" t="s">
        <v>120</v>
      </c>
      <c r="D23" s="6" t="s">
        <v>43</v>
      </c>
      <c r="E23" s="6" t="s">
        <v>56</v>
      </c>
      <c r="F23" s="6" t="s">
        <v>249</v>
      </c>
      <c r="G23" s="6" t="s">
        <v>250</v>
      </c>
      <c r="H23" s="6" t="s">
        <v>129</v>
      </c>
      <c r="I23" s="6" t="s">
        <v>251</v>
      </c>
      <c r="J23" s="6" t="s">
        <v>252</v>
      </c>
      <c r="K23" s="6" t="s">
        <v>253</v>
      </c>
      <c r="L23" s="7" t="str">
        <f>IFERROR(INDEX(Decisions!$B$2:$B$43,MATCH(K23,Decisions!$A$2:$A$43,0)),"Chưa quyết định")</f>
        <v>Modify</v>
      </c>
    </row>
    <row r="24" spans="1:12" x14ac:dyDescent="0.25">
      <c r="A24" s="6" t="s">
        <v>254</v>
      </c>
      <c r="B24" s="6" t="s">
        <v>242</v>
      </c>
      <c r="C24" s="6" t="s">
        <v>120</v>
      </c>
      <c r="D24" s="6" t="s">
        <v>43</v>
      </c>
      <c r="E24" s="6" t="s">
        <v>56</v>
      </c>
      <c r="F24" s="6" t="s">
        <v>255</v>
      </c>
      <c r="G24" s="6" t="s">
        <v>256</v>
      </c>
      <c r="H24" s="6" t="s">
        <v>146</v>
      </c>
      <c r="I24" s="6" t="s">
        <v>257</v>
      </c>
      <c r="J24" s="6" t="s">
        <v>258</v>
      </c>
      <c r="K24" s="6" t="s">
        <v>259</v>
      </c>
      <c r="L24" s="7" t="str">
        <f>IFERROR(INDEX(Decisions!$B$2:$B$43,MATCH(K24,Decisions!$A$2:$A$43,0)),"Chưa quyết định")</f>
        <v>Accept</v>
      </c>
    </row>
    <row r="25" spans="1:12" x14ac:dyDescent="0.25">
      <c r="A25" s="6" t="s">
        <v>260</v>
      </c>
      <c r="B25" s="6" t="s">
        <v>242</v>
      </c>
      <c r="C25" s="6" t="s">
        <v>120</v>
      </c>
      <c r="D25" s="6" t="s">
        <v>43</v>
      </c>
      <c r="E25" s="6" t="s">
        <v>56</v>
      </c>
      <c r="F25" s="6" t="s">
        <v>261</v>
      </c>
      <c r="G25" s="6" t="s">
        <v>262</v>
      </c>
      <c r="H25" s="6" t="s">
        <v>123</v>
      </c>
      <c r="I25" s="6" t="s">
        <v>263</v>
      </c>
      <c r="J25" s="6" t="s">
        <v>264</v>
      </c>
      <c r="K25" s="6" t="s">
        <v>265</v>
      </c>
      <c r="L25" s="7" t="str">
        <f>IFERROR(INDEX(Decisions!$B$2:$B$43,MATCH(K25,Decisions!$A$2:$A$43,0)),"Chưa quyết định")</f>
        <v>Accept</v>
      </c>
    </row>
    <row r="26" spans="1:12" x14ac:dyDescent="0.25">
      <c r="A26" s="6" t="s">
        <v>266</v>
      </c>
      <c r="B26" s="6" t="s">
        <v>242</v>
      </c>
      <c r="C26" s="6" t="s">
        <v>120</v>
      </c>
      <c r="D26" s="6" t="s">
        <v>43</v>
      </c>
      <c r="E26" s="6" t="s">
        <v>56</v>
      </c>
      <c r="F26" s="6" t="s">
        <v>267</v>
      </c>
      <c r="G26" s="6" t="s">
        <v>268</v>
      </c>
      <c r="H26" s="6" t="s">
        <v>129</v>
      </c>
      <c r="I26" s="6" t="s">
        <v>269</v>
      </c>
      <c r="J26" s="6" t="s">
        <v>270</v>
      </c>
      <c r="K26" s="6" t="s">
        <v>271</v>
      </c>
      <c r="L26" s="7" t="str">
        <f>IFERROR(INDEX(Decisions!$B$2:$B$43,MATCH(K26,Decisions!$A$2:$A$43,0)),"Chưa quyết định")</f>
        <v>Accept</v>
      </c>
    </row>
    <row r="27" spans="1:12" x14ac:dyDescent="0.25">
      <c r="A27" s="6" t="s">
        <v>272</v>
      </c>
      <c r="B27" s="6" t="s">
        <v>273</v>
      </c>
      <c r="C27" s="6" t="s">
        <v>274</v>
      </c>
      <c r="D27" s="6" t="s">
        <v>72</v>
      </c>
      <c r="E27" s="6" t="s">
        <v>63</v>
      </c>
      <c r="F27" s="6" t="s">
        <v>275</v>
      </c>
      <c r="G27" s="6" t="s">
        <v>276</v>
      </c>
      <c r="H27" s="6" t="s">
        <v>277</v>
      </c>
      <c r="I27" s="6" t="s">
        <v>278</v>
      </c>
      <c r="J27" s="6" t="s">
        <v>279</v>
      </c>
      <c r="K27" s="6" t="s">
        <v>280</v>
      </c>
      <c r="L27" s="7" t="str">
        <f>IFERROR(INDEX(Decisions!$B$2:$B$43,MATCH(K27,Decisions!$A$2:$A$43,0)),"Chưa quyết định")</f>
        <v>Accept</v>
      </c>
    </row>
    <row r="28" spans="1:12" ht="26.4" x14ac:dyDescent="0.25">
      <c r="A28" s="6" t="s">
        <v>281</v>
      </c>
      <c r="B28" s="6" t="s">
        <v>273</v>
      </c>
      <c r="C28" s="6" t="s">
        <v>274</v>
      </c>
      <c r="D28" s="6" t="s">
        <v>72</v>
      </c>
      <c r="E28" s="6" t="s">
        <v>63</v>
      </c>
      <c r="F28" s="6" t="s">
        <v>282</v>
      </c>
      <c r="G28" s="6" t="s">
        <v>283</v>
      </c>
      <c r="H28" s="6" t="s">
        <v>277</v>
      </c>
      <c r="I28" s="6" t="s">
        <v>284</v>
      </c>
      <c r="J28" s="6" t="s">
        <v>285</v>
      </c>
      <c r="K28" s="6" t="s">
        <v>286</v>
      </c>
      <c r="L28" s="7" t="str">
        <f>IFERROR(INDEX(Decisions!$B$2:$B$43,MATCH(K28,Decisions!$A$2:$A$43,0)),"Chưa quyết định")</f>
        <v>Accept</v>
      </c>
    </row>
    <row r="29" spans="1:12" x14ac:dyDescent="0.25">
      <c r="A29" s="6" t="s">
        <v>287</v>
      </c>
      <c r="B29" s="6" t="s">
        <v>273</v>
      </c>
      <c r="C29" s="6" t="s">
        <v>274</v>
      </c>
      <c r="D29" s="6" t="s">
        <v>72</v>
      </c>
      <c r="E29" s="6" t="s">
        <v>63</v>
      </c>
      <c r="F29" s="6" t="s">
        <v>82</v>
      </c>
      <c r="G29" s="6" t="s">
        <v>288</v>
      </c>
      <c r="H29" s="6" t="s">
        <v>277</v>
      </c>
      <c r="I29" s="6" t="s">
        <v>289</v>
      </c>
      <c r="J29" s="6" t="s">
        <v>290</v>
      </c>
      <c r="K29" s="6" t="s">
        <v>291</v>
      </c>
      <c r="L29" s="7" t="str">
        <f>IFERROR(INDEX(Decisions!$B$2:$B$43,MATCH(K29,Decisions!$A$2:$A$43,0)),"Chưa quyết định")</f>
        <v>Accept</v>
      </c>
    </row>
    <row r="30" spans="1:12" x14ac:dyDescent="0.25">
      <c r="A30" s="6" t="s">
        <v>292</v>
      </c>
      <c r="B30" s="6" t="s">
        <v>273</v>
      </c>
      <c r="C30" s="6" t="s">
        <v>274</v>
      </c>
      <c r="D30" s="6" t="s">
        <v>72</v>
      </c>
      <c r="E30" s="6" t="s">
        <v>63</v>
      </c>
      <c r="F30" s="6" t="s">
        <v>293</v>
      </c>
      <c r="G30" s="6" t="s">
        <v>294</v>
      </c>
      <c r="H30" s="6" t="s">
        <v>277</v>
      </c>
      <c r="I30" s="6" t="s">
        <v>295</v>
      </c>
      <c r="J30" s="6" t="s">
        <v>296</v>
      </c>
      <c r="K30" s="6" t="s">
        <v>297</v>
      </c>
      <c r="L30" s="7" t="str">
        <f>IFERROR(INDEX(Decisions!$B$2:$B$43,MATCH(K30,Decisions!$A$2:$A$43,0)),"Chưa quyết định")</f>
        <v>Modify</v>
      </c>
    </row>
    <row r="31" spans="1:12" x14ac:dyDescent="0.25">
      <c r="A31" s="6" t="s">
        <v>298</v>
      </c>
      <c r="B31" s="6" t="s">
        <v>273</v>
      </c>
      <c r="C31" s="6" t="s">
        <v>274</v>
      </c>
      <c r="D31" s="6" t="s">
        <v>72</v>
      </c>
      <c r="E31" s="6" t="s">
        <v>63</v>
      </c>
      <c r="F31" s="6" t="s">
        <v>299</v>
      </c>
      <c r="G31" s="6" t="s">
        <v>300</v>
      </c>
      <c r="H31" s="6" t="s">
        <v>277</v>
      </c>
      <c r="I31" s="6" t="s">
        <v>301</v>
      </c>
      <c r="J31" s="6" t="s">
        <v>302</v>
      </c>
      <c r="K31" s="6" t="s">
        <v>303</v>
      </c>
      <c r="L31" s="7" t="str">
        <f>IFERROR(INDEX(Decisions!$B$2:$B$43,MATCH(K31,Decisions!$A$2:$A$43,0)),"Chưa quyết định")</f>
        <v>Accept</v>
      </c>
    </row>
    <row r="32" spans="1:12" ht="26.4" x14ac:dyDescent="0.25">
      <c r="A32" s="6" t="s">
        <v>304</v>
      </c>
      <c r="B32" s="6" t="s">
        <v>305</v>
      </c>
      <c r="C32" s="6" t="s">
        <v>306</v>
      </c>
      <c r="D32" s="6" t="s">
        <v>101</v>
      </c>
      <c r="E32" s="6" t="s">
        <v>70</v>
      </c>
      <c r="F32" s="6" t="s">
        <v>104</v>
      </c>
      <c r="G32" s="6" t="s">
        <v>307</v>
      </c>
      <c r="H32" s="6" t="s">
        <v>123</v>
      </c>
      <c r="I32" s="6" t="s">
        <v>308</v>
      </c>
      <c r="J32" s="6" t="s">
        <v>309</v>
      </c>
      <c r="K32" s="6" t="s">
        <v>310</v>
      </c>
      <c r="L32" s="7" t="str">
        <f>IFERROR(INDEX(Decisions!$B$2:$B$43,MATCH(K32,Decisions!$A$2:$A$43,0)),"Chưa quyết định")</f>
        <v>Modify</v>
      </c>
    </row>
    <row r="33" spans="1:12" x14ac:dyDescent="0.25">
      <c r="A33" s="6" t="s">
        <v>311</v>
      </c>
      <c r="B33" s="6" t="s">
        <v>312</v>
      </c>
      <c r="C33" s="6" t="s">
        <v>120</v>
      </c>
      <c r="D33" s="6" t="s">
        <v>101</v>
      </c>
      <c r="E33" s="6" t="s">
        <v>313</v>
      </c>
      <c r="F33" s="6" t="s">
        <v>314</v>
      </c>
      <c r="G33" s="6" t="s">
        <v>315</v>
      </c>
      <c r="H33" s="6" t="s">
        <v>123</v>
      </c>
      <c r="I33" s="6" t="s">
        <v>316</v>
      </c>
      <c r="J33" s="6" t="s">
        <v>317</v>
      </c>
      <c r="K33" s="6" t="s">
        <v>318</v>
      </c>
      <c r="L33" s="7" t="str">
        <f>IFERROR(INDEX(Decisions!$B$2:$B$43,MATCH(K33,Decisions!$A$2:$A$43,0)),"Chưa quyết định")</f>
        <v>Accept</v>
      </c>
    </row>
    <row r="34" spans="1:12" x14ac:dyDescent="0.25">
      <c r="A34" s="6" t="s">
        <v>319</v>
      </c>
      <c r="B34" s="6" t="s">
        <v>312</v>
      </c>
      <c r="C34" s="6" t="s">
        <v>120</v>
      </c>
      <c r="D34" s="6" t="s">
        <v>101</v>
      </c>
      <c r="E34" s="6" t="s">
        <v>313</v>
      </c>
      <c r="F34" s="6" t="s">
        <v>314</v>
      </c>
      <c r="G34" s="6" t="s">
        <v>320</v>
      </c>
      <c r="H34" s="6" t="s">
        <v>129</v>
      </c>
      <c r="I34" s="6" t="s">
        <v>321</v>
      </c>
      <c r="J34" s="6" t="s">
        <v>322</v>
      </c>
      <c r="K34" s="6" t="s">
        <v>323</v>
      </c>
      <c r="L34" s="7" t="str">
        <f>IFERROR(INDEX(Decisions!$B$2:$B$43,MATCH(K34,Decisions!$A$2:$A$43,0)),"Chưa quyết định")</f>
        <v>Accept</v>
      </c>
    </row>
    <row r="35" spans="1:12" x14ac:dyDescent="0.25">
      <c r="A35" s="6" t="s">
        <v>324</v>
      </c>
      <c r="B35" s="6" t="s">
        <v>312</v>
      </c>
      <c r="C35" s="6" t="s">
        <v>120</v>
      </c>
      <c r="D35" s="6" t="s">
        <v>101</v>
      </c>
      <c r="E35" s="6" t="s">
        <v>313</v>
      </c>
      <c r="F35" s="6" t="s">
        <v>314</v>
      </c>
      <c r="G35" s="6" t="s">
        <v>325</v>
      </c>
      <c r="H35" s="6" t="s">
        <v>129</v>
      </c>
      <c r="I35" s="6" t="s">
        <v>326</v>
      </c>
      <c r="J35" s="6" t="s">
        <v>327</v>
      </c>
      <c r="K35" s="6" t="s">
        <v>328</v>
      </c>
      <c r="L35" s="7" t="str">
        <f>IFERROR(INDEX(Decisions!$B$2:$B$43,MATCH(K35,Decisions!$A$2:$A$43,0)),"Chưa quyết định")</f>
        <v>Modify</v>
      </c>
    </row>
    <row r="36" spans="1:12" x14ac:dyDescent="0.25">
      <c r="A36" s="6" t="s">
        <v>329</v>
      </c>
      <c r="B36" s="6" t="s">
        <v>330</v>
      </c>
      <c r="C36" s="6" t="s">
        <v>120</v>
      </c>
      <c r="D36" s="6" t="s">
        <v>101</v>
      </c>
      <c r="E36" s="6" t="s">
        <v>63</v>
      </c>
      <c r="F36" s="6" t="s">
        <v>275</v>
      </c>
      <c r="G36" s="6" t="s">
        <v>331</v>
      </c>
      <c r="H36" s="6" t="s">
        <v>123</v>
      </c>
      <c r="I36" s="6" t="s">
        <v>332</v>
      </c>
      <c r="J36" s="6" t="s">
        <v>333</v>
      </c>
      <c r="K36" s="6" t="s">
        <v>334</v>
      </c>
      <c r="L36" s="7" t="str">
        <f>IFERROR(INDEX(Decisions!$B$2:$B$43,MATCH(K36,Decisions!$A$2:$A$43,0)),"Chưa quyết định")</f>
        <v>Accept</v>
      </c>
    </row>
    <row r="37" spans="1:12" x14ac:dyDescent="0.25">
      <c r="A37" s="6" t="s">
        <v>335</v>
      </c>
      <c r="B37" s="6" t="s">
        <v>330</v>
      </c>
      <c r="C37" s="6" t="s">
        <v>120</v>
      </c>
      <c r="D37" s="6" t="s">
        <v>101</v>
      </c>
      <c r="E37" s="6" t="s">
        <v>70</v>
      </c>
      <c r="F37" s="6" t="s">
        <v>104</v>
      </c>
      <c r="G37" s="6" t="s">
        <v>336</v>
      </c>
      <c r="H37" s="6" t="s">
        <v>123</v>
      </c>
      <c r="I37" s="6" t="s">
        <v>337</v>
      </c>
      <c r="J37" s="6" t="s">
        <v>338</v>
      </c>
      <c r="K37" s="6" t="s">
        <v>310</v>
      </c>
      <c r="L37" s="7" t="str">
        <f>IFERROR(INDEX(Decisions!$B$2:$B$43,MATCH(K37,Decisions!$A$2:$A$43,0)),"Chưa quyết định")</f>
        <v>Modify</v>
      </c>
    </row>
    <row r="38" spans="1:12" x14ac:dyDescent="0.25">
      <c r="A38" s="6" t="s">
        <v>339</v>
      </c>
      <c r="B38" s="6" t="s">
        <v>330</v>
      </c>
      <c r="C38" s="6" t="s">
        <v>120</v>
      </c>
      <c r="D38" s="6" t="s">
        <v>101</v>
      </c>
      <c r="E38" s="6" t="s">
        <v>63</v>
      </c>
      <c r="F38" s="6" t="s">
        <v>340</v>
      </c>
      <c r="G38" s="6" t="s">
        <v>341</v>
      </c>
      <c r="H38" s="6" t="s">
        <v>129</v>
      </c>
      <c r="I38" s="6" t="s">
        <v>342</v>
      </c>
      <c r="J38" s="6" t="s">
        <v>343</v>
      </c>
      <c r="K38" s="6" t="s">
        <v>344</v>
      </c>
      <c r="L38" s="7" t="str">
        <f>IFERROR(INDEX(Decisions!$B$2:$B$43,MATCH(K38,Decisions!$A$2:$A$43,0)),"Chưa quyết định")</f>
        <v>Accept</v>
      </c>
    </row>
    <row r="39" spans="1:12" x14ac:dyDescent="0.25">
      <c r="A39" s="6" t="s">
        <v>345</v>
      </c>
      <c r="B39" s="6" t="s">
        <v>330</v>
      </c>
      <c r="C39" s="6" t="s">
        <v>120</v>
      </c>
      <c r="D39" s="6" t="s">
        <v>101</v>
      </c>
      <c r="E39" s="6" t="s">
        <v>63</v>
      </c>
      <c r="F39" s="6" t="s">
        <v>82</v>
      </c>
      <c r="G39" s="6" t="s">
        <v>346</v>
      </c>
      <c r="H39" s="6" t="s">
        <v>129</v>
      </c>
      <c r="I39" s="6" t="s">
        <v>347</v>
      </c>
      <c r="J39" s="6" t="s">
        <v>348</v>
      </c>
      <c r="K39" s="6" t="s">
        <v>349</v>
      </c>
      <c r="L39" s="7" t="str">
        <f>IFERROR(INDEX(Decisions!$B$2:$B$43,MATCH(K39,Decisions!$A$2:$A$43,0)),"Chưa quyết định")</f>
        <v>Accept</v>
      </c>
    </row>
    <row r="40" spans="1:12" x14ac:dyDescent="0.25">
      <c r="A40" s="6" t="s">
        <v>350</v>
      </c>
      <c r="B40" s="6" t="s">
        <v>330</v>
      </c>
      <c r="C40" s="6" t="s">
        <v>120</v>
      </c>
      <c r="D40" s="6" t="s">
        <v>101</v>
      </c>
      <c r="E40" s="6" t="s">
        <v>63</v>
      </c>
      <c r="F40" s="6" t="s">
        <v>282</v>
      </c>
      <c r="G40" s="6" t="s">
        <v>351</v>
      </c>
      <c r="H40" s="6" t="s">
        <v>129</v>
      </c>
      <c r="I40" s="6" t="s">
        <v>352</v>
      </c>
      <c r="J40" s="6" t="s">
        <v>353</v>
      </c>
      <c r="K40" s="6" t="s">
        <v>354</v>
      </c>
      <c r="L40" s="7" t="str">
        <f>IFERROR(INDEX(Decisions!$B$2:$B$43,MATCH(K40,Decisions!$A$2:$A$43,0)),"Chưa quyết định")</f>
        <v>Accept</v>
      </c>
    </row>
    <row r="41" spans="1:12" x14ac:dyDescent="0.25">
      <c r="A41" s="6" t="s">
        <v>355</v>
      </c>
      <c r="B41" s="6" t="s">
        <v>330</v>
      </c>
      <c r="C41" s="6" t="s">
        <v>120</v>
      </c>
      <c r="D41" s="6" t="s">
        <v>101</v>
      </c>
      <c r="E41" s="6" t="s">
        <v>84</v>
      </c>
      <c r="F41" s="6" t="s">
        <v>88</v>
      </c>
      <c r="G41" s="6" t="s">
        <v>356</v>
      </c>
      <c r="H41" s="6" t="s">
        <v>146</v>
      </c>
      <c r="I41" s="6" t="s">
        <v>357</v>
      </c>
      <c r="J41" s="6" t="s">
        <v>358</v>
      </c>
      <c r="K41" s="6" t="s">
        <v>359</v>
      </c>
      <c r="L41" s="7" t="str">
        <f>IFERROR(INDEX(Decisions!$B$2:$B$43,MATCH(K41,Decisions!$A$2:$A$43,0)),"Chưa quyết định")</f>
        <v>Modify</v>
      </c>
    </row>
    <row r="42" spans="1:12" x14ac:dyDescent="0.25">
      <c r="A42" s="6" t="s">
        <v>360</v>
      </c>
      <c r="B42" s="6" t="s">
        <v>330</v>
      </c>
      <c r="C42" s="6" t="s">
        <v>120</v>
      </c>
      <c r="D42" s="6" t="s">
        <v>101</v>
      </c>
      <c r="E42" s="6" t="s">
        <v>84</v>
      </c>
      <c r="F42" s="6" t="s">
        <v>88</v>
      </c>
      <c r="G42" s="6" t="s">
        <v>361</v>
      </c>
      <c r="H42" s="6" t="s">
        <v>146</v>
      </c>
      <c r="I42" s="6" t="s">
        <v>362</v>
      </c>
      <c r="J42" s="6" t="s">
        <v>363</v>
      </c>
      <c r="K42" s="6" t="s">
        <v>364</v>
      </c>
      <c r="L42" s="7" t="str">
        <f>IFERROR(INDEX(Decisions!$B$2:$B$43,MATCH(K42,Decisions!$A$2:$A$43,0)),"Chưa quyết định")</f>
        <v>Modify</v>
      </c>
    </row>
    <row r="43" spans="1:12" x14ac:dyDescent="0.25">
      <c r="A43" s="6" t="s">
        <v>365</v>
      </c>
      <c r="B43" s="6" t="s">
        <v>330</v>
      </c>
      <c r="C43" s="6" t="s">
        <v>120</v>
      </c>
      <c r="D43" s="6" t="s">
        <v>101</v>
      </c>
      <c r="E43" s="6" t="s">
        <v>63</v>
      </c>
      <c r="F43" s="6" t="s">
        <v>293</v>
      </c>
      <c r="G43" s="6" t="s">
        <v>361</v>
      </c>
      <c r="H43" s="6" t="s">
        <v>146</v>
      </c>
      <c r="I43" s="6" t="s">
        <v>366</v>
      </c>
      <c r="J43" s="6" t="s">
        <v>367</v>
      </c>
      <c r="K43" s="6" t="s">
        <v>368</v>
      </c>
      <c r="L43" s="7" t="str">
        <f>IFERROR(INDEX(Decisions!$B$2:$B$43,MATCH(K43,Decisions!$A$2:$A$43,0)),"Chưa quyết định")</f>
        <v>Accept</v>
      </c>
    </row>
    <row r="44" spans="1:12" ht="26.4" x14ac:dyDescent="0.25">
      <c r="A44" s="6" t="s">
        <v>369</v>
      </c>
      <c r="B44" s="6" t="s">
        <v>330</v>
      </c>
      <c r="C44" s="6" t="s">
        <v>120</v>
      </c>
      <c r="D44" s="6" t="s">
        <v>101</v>
      </c>
      <c r="E44" s="6" t="s">
        <v>63</v>
      </c>
      <c r="F44" s="6" t="s">
        <v>275</v>
      </c>
      <c r="G44" s="6" t="s">
        <v>370</v>
      </c>
      <c r="H44" s="6" t="s">
        <v>371</v>
      </c>
      <c r="I44" s="6" t="s">
        <v>372</v>
      </c>
      <c r="J44" s="6" t="s">
        <v>373</v>
      </c>
      <c r="K44" s="6" t="s">
        <v>374</v>
      </c>
      <c r="L44" s="7" t="str">
        <f>IFERROR(INDEX(Decisions!$B$2:$B$43,MATCH(K44,Decisions!$A$2:$A$43,0)),"Chưa quyết định")</f>
        <v>Reject</v>
      </c>
    </row>
  </sheetData>
  <autoFilter ref="A1:L4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10" customWidth="1"/>
    <col min="2" max="2" width="9" customWidth="1"/>
    <col min="3" max="4" width="44" customWidth="1"/>
    <col min="5" max="5" width="10" customWidth="1"/>
    <col min="6" max="6" width="28" customWidth="1"/>
    <col min="7" max="7" width="12" customWidth="1"/>
  </cols>
  <sheetData>
    <row r="1" spans="1:7" ht="27.6" x14ac:dyDescent="0.25">
      <c r="A1" s="5" t="s">
        <v>116</v>
      </c>
      <c r="B1" s="5" t="s">
        <v>375</v>
      </c>
      <c r="C1" s="5" t="s">
        <v>376</v>
      </c>
      <c r="D1" s="5" t="s">
        <v>377</v>
      </c>
      <c r="E1" s="5" t="s">
        <v>378</v>
      </c>
      <c r="F1" s="5" t="s">
        <v>379</v>
      </c>
      <c r="G1" s="5" t="s">
        <v>380</v>
      </c>
    </row>
    <row r="2" spans="1:7" x14ac:dyDescent="0.25">
      <c r="A2" s="6" t="s">
        <v>280</v>
      </c>
      <c r="B2" s="6" t="s">
        <v>381</v>
      </c>
      <c r="C2" s="6" t="s">
        <v>382</v>
      </c>
      <c r="D2" s="6" t="s">
        <v>383</v>
      </c>
      <c r="E2" s="6" t="s">
        <v>90</v>
      </c>
      <c r="F2" s="8" t="s">
        <v>384</v>
      </c>
      <c r="G2" s="6">
        <f>COUNTIF(AI_Findings!$K$2:$K$44,A2)</f>
        <v>1</v>
      </c>
    </row>
    <row r="3" spans="1:7" x14ac:dyDescent="0.25">
      <c r="A3" s="6" t="s">
        <v>286</v>
      </c>
      <c r="B3" s="6" t="s">
        <v>381</v>
      </c>
      <c r="C3" s="6" t="s">
        <v>385</v>
      </c>
      <c r="D3" s="6" t="s">
        <v>386</v>
      </c>
      <c r="E3" s="6" t="s">
        <v>90</v>
      </c>
      <c r="F3" s="8" t="s">
        <v>384</v>
      </c>
      <c r="G3" s="6">
        <f>COUNTIF(AI_Findings!$K$2:$K$44,A3)</f>
        <v>1</v>
      </c>
    </row>
    <row r="4" spans="1:7" x14ac:dyDescent="0.25">
      <c r="A4" s="6" t="s">
        <v>291</v>
      </c>
      <c r="B4" s="6" t="s">
        <v>381</v>
      </c>
      <c r="C4" s="6" t="s">
        <v>387</v>
      </c>
      <c r="D4" s="6" t="s">
        <v>388</v>
      </c>
      <c r="E4" s="6" t="s">
        <v>90</v>
      </c>
      <c r="F4" s="8" t="s">
        <v>384</v>
      </c>
      <c r="G4" s="6">
        <f>COUNTIF(AI_Findings!$K$2:$K$44,A4)</f>
        <v>1</v>
      </c>
    </row>
    <row r="5" spans="1:7" x14ac:dyDescent="0.25">
      <c r="A5" s="6" t="s">
        <v>297</v>
      </c>
      <c r="B5" s="6" t="s">
        <v>389</v>
      </c>
      <c r="C5" s="6" t="s">
        <v>390</v>
      </c>
      <c r="D5" s="6" t="s">
        <v>391</v>
      </c>
      <c r="E5" s="6" t="s">
        <v>90</v>
      </c>
      <c r="F5" s="8" t="s">
        <v>384</v>
      </c>
      <c r="G5" s="6">
        <f>COUNTIF(AI_Findings!$K$2:$K$44,A5)</f>
        <v>1</v>
      </c>
    </row>
    <row r="6" spans="1:7" x14ac:dyDescent="0.25">
      <c r="A6" s="6" t="s">
        <v>303</v>
      </c>
      <c r="B6" s="6" t="s">
        <v>381</v>
      </c>
      <c r="C6" s="6" t="s">
        <v>392</v>
      </c>
      <c r="D6" s="6" t="s">
        <v>393</v>
      </c>
      <c r="E6" s="6" t="s">
        <v>90</v>
      </c>
      <c r="F6" s="8" t="s">
        <v>394</v>
      </c>
      <c r="G6" s="6">
        <f>COUNTIF(AI_Findings!$K$2:$K$44,A6)</f>
        <v>1</v>
      </c>
    </row>
    <row r="7" spans="1:7" x14ac:dyDescent="0.25">
      <c r="A7" s="6" t="s">
        <v>310</v>
      </c>
      <c r="B7" s="6" t="s">
        <v>389</v>
      </c>
      <c r="C7" s="6" t="s">
        <v>395</v>
      </c>
      <c r="D7" s="6" t="s">
        <v>396</v>
      </c>
      <c r="E7" s="6" t="s">
        <v>98</v>
      </c>
      <c r="F7" s="8" t="s">
        <v>397</v>
      </c>
      <c r="G7" s="6">
        <f>COUNTIF(AI_Findings!$K$2:$K$44,A7)</f>
        <v>2</v>
      </c>
    </row>
    <row r="8" spans="1:7" x14ac:dyDescent="0.25">
      <c r="A8" s="6" t="s">
        <v>318</v>
      </c>
      <c r="B8" s="6" t="s">
        <v>381</v>
      </c>
      <c r="C8" s="6" t="s">
        <v>398</v>
      </c>
      <c r="D8" s="6" t="s">
        <v>399</v>
      </c>
      <c r="E8" s="6" t="s">
        <v>98</v>
      </c>
      <c r="F8" s="8" t="s">
        <v>400</v>
      </c>
      <c r="G8" s="6">
        <f>COUNTIF(AI_Findings!$K$2:$K$44,A8)</f>
        <v>1</v>
      </c>
    </row>
    <row r="9" spans="1:7" x14ac:dyDescent="0.25">
      <c r="A9" s="6" t="s">
        <v>323</v>
      </c>
      <c r="B9" s="6" t="s">
        <v>381</v>
      </c>
      <c r="C9" s="6" t="s">
        <v>401</v>
      </c>
      <c r="D9" s="6" t="s">
        <v>402</v>
      </c>
      <c r="E9" s="6" t="s">
        <v>98</v>
      </c>
      <c r="F9" s="8" t="s">
        <v>400</v>
      </c>
      <c r="G9" s="6">
        <f>COUNTIF(AI_Findings!$K$2:$K$44,A9)</f>
        <v>1</v>
      </c>
    </row>
    <row r="10" spans="1:7" x14ac:dyDescent="0.25">
      <c r="A10" s="6" t="s">
        <v>328</v>
      </c>
      <c r="B10" s="6" t="s">
        <v>389</v>
      </c>
      <c r="C10" s="6" t="s">
        <v>403</v>
      </c>
      <c r="D10" s="6" t="s">
        <v>404</v>
      </c>
      <c r="E10" s="6" t="s">
        <v>98</v>
      </c>
      <c r="F10" s="8" t="s">
        <v>400</v>
      </c>
      <c r="G10" s="6">
        <f>COUNTIF(AI_Findings!$K$2:$K$44,A10)</f>
        <v>1</v>
      </c>
    </row>
    <row r="11" spans="1:7" ht="26.4" x14ac:dyDescent="0.25">
      <c r="A11" s="6" t="s">
        <v>349</v>
      </c>
      <c r="B11" s="6" t="s">
        <v>381</v>
      </c>
      <c r="C11" s="6" t="s">
        <v>405</v>
      </c>
      <c r="D11" s="6" t="s">
        <v>406</v>
      </c>
      <c r="E11" s="6" t="s">
        <v>90</v>
      </c>
      <c r="F11" s="8" t="s">
        <v>407</v>
      </c>
      <c r="G11" s="6">
        <f>COUNTIF(AI_Findings!$K$2:$K$44,A11)</f>
        <v>1</v>
      </c>
    </row>
    <row r="12" spans="1:7" x14ac:dyDescent="0.25">
      <c r="A12" s="6" t="s">
        <v>359</v>
      </c>
      <c r="B12" s="6" t="s">
        <v>389</v>
      </c>
      <c r="C12" s="6" t="s">
        <v>408</v>
      </c>
      <c r="D12" s="6" t="s">
        <v>409</v>
      </c>
      <c r="E12" s="6" t="s">
        <v>98</v>
      </c>
      <c r="F12" s="8" t="s">
        <v>397</v>
      </c>
      <c r="G12" s="6">
        <f>COUNTIF(AI_Findings!$K$2:$K$44,A12)</f>
        <v>1</v>
      </c>
    </row>
    <row r="13" spans="1:7" x14ac:dyDescent="0.25">
      <c r="A13" s="6" t="s">
        <v>374</v>
      </c>
      <c r="B13" s="6" t="s">
        <v>410</v>
      </c>
      <c r="C13" s="6" t="s">
        <v>411</v>
      </c>
      <c r="D13" s="6" t="s">
        <v>412</v>
      </c>
      <c r="E13" s="6" t="s">
        <v>98</v>
      </c>
      <c r="F13" s="8" t="s">
        <v>413</v>
      </c>
      <c r="G13" s="6">
        <f>COUNTIF(AI_Findings!$K$2:$K$44,A13)</f>
        <v>1</v>
      </c>
    </row>
    <row r="14" spans="1:7" x14ac:dyDescent="0.25">
      <c r="A14" s="6" t="s">
        <v>354</v>
      </c>
      <c r="B14" s="6" t="s">
        <v>381</v>
      </c>
      <c r="C14" s="6" t="s">
        <v>414</v>
      </c>
      <c r="D14" s="6" t="s">
        <v>415</v>
      </c>
      <c r="E14" s="6" t="s">
        <v>98</v>
      </c>
      <c r="F14" s="8" t="s">
        <v>397</v>
      </c>
      <c r="G14" s="6">
        <f>COUNTIF(AI_Findings!$K$2:$K$44,A14)</f>
        <v>1</v>
      </c>
    </row>
    <row r="15" spans="1:7" x14ac:dyDescent="0.25">
      <c r="A15" s="6" t="s">
        <v>334</v>
      </c>
      <c r="B15" s="6" t="s">
        <v>381</v>
      </c>
      <c r="C15" s="6" t="s">
        <v>416</v>
      </c>
      <c r="D15" s="6" t="s">
        <v>417</v>
      </c>
      <c r="E15" s="6" t="s">
        <v>98</v>
      </c>
      <c r="F15" s="8" t="s">
        <v>397</v>
      </c>
      <c r="G15" s="6">
        <f>COUNTIF(AI_Findings!$K$2:$K$44,A15)</f>
        <v>1</v>
      </c>
    </row>
    <row r="16" spans="1:7" x14ac:dyDescent="0.25">
      <c r="A16" s="6" t="s">
        <v>344</v>
      </c>
      <c r="B16" s="6" t="s">
        <v>381</v>
      </c>
      <c r="C16" s="6" t="s">
        <v>418</v>
      </c>
      <c r="D16" s="6" t="s">
        <v>419</v>
      </c>
      <c r="E16" s="6" t="s">
        <v>98</v>
      </c>
      <c r="F16" s="8" t="s">
        <v>397</v>
      </c>
      <c r="G16" s="6">
        <f>COUNTIF(AI_Findings!$K$2:$K$44,A16)</f>
        <v>1</v>
      </c>
    </row>
    <row r="17" spans="1:7" x14ac:dyDescent="0.25">
      <c r="A17" s="6" t="s">
        <v>364</v>
      </c>
      <c r="B17" s="6" t="s">
        <v>389</v>
      </c>
      <c r="C17" s="6" t="s">
        <v>420</v>
      </c>
      <c r="D17" s="6" t="s">
        <v>421</v>
      </c>
      <c r="E17" s="6" t="s">
        <v>98</v>
      </c>
      <c r="F17" s="8" t="s">
        <v>397</v>
      </c>
      <c r="G17" s="6">
        <f>COUNTIF(AI_Findings!$K$2:$K$44,A17)</f>
        <v>1</v>
      </c>
    </row>
    <row r="18" spans="1:7" x14ac:dyDescent="0.25">
      <c r="A18" s="6" t="s">
        <v>368</v>
      </c>
      <c r="B18" s="6" t="s">
        <v>381</v>
      </c>
      <c r="C18" s="6" t="s">
        <v>422</v>
      </c>
      <c r="D18" s="6" t="s">
        <v>423</v>
      </c>
      <c r="E18" s="6" t="s">
        <v>98</v>
      </c>
      <c r="F18" s="8" t="s">
        <v>424</v>
      </c>
      <c r="G18" s="6">
        <f>COUNTIF(AI_Findings!$K$2:$K$44,A18)</f>
        <v>1</v>
      </c>
    </row>
    <row r="19" spans="1:7" x14ac:dyDescent="0.25">
      <c r="A19" s="6" t="s">
        <v>126</v>
      </c>
      <c r="B19" s="6" t="s">
        <v>389</v>
      </c>
      <c r="C19" s="6" t="s">
        <v>425</v>
      </c>
      <c r="D19" s="6" t="s">
        <v>426</v>
      </c>
      <c r="E19" s="6" t="s">
        <v>26</v>
      </c>
      <c r="F19" s="8" t="s">
        <v>400</v>
      </c>
      <c r="G19" s="6">
        <f>COUNTIF(AI_Findings!$K$2:$K$44,A19)</f>
        <v>1</v>
      </c>
    </row>
    <row r="20" spans="1:7" x14ac:dyDescent="0.25">
      <c r="A20" s="6" t="s">
        <v>132</v>
      </c>
      <c r="B20" s="6" t="s">
        <v>381</v>
      </c>
      <c r="C20" s="6" t="s">
        <v>427</v>
      </c>
      <c r="D20" s="6" t="s">
        <v>428</v>
      </c>
      <c r="E20" s="6" t="s">
        <v>26</v>
      </c>
      <c r="F20" s="8" t="s">
        <v>400</v>
      </c>
      <c r="G20" s="6">
        <f>COUNTIF(AI_Findings!$K$2:$K$44,A20)</f>
        <v>1</v>
      </c>
    </row>
    <row r="21" spans="1:7" x14ac:dyDescent="0.25">
      <c r="A21" s="6" t="s">
        <v>138</v>
      </c>
      <c r="B21" s="6" t="s">
        <v>410</v>
      </c>
      <c r="C21" s="6" t="s">
        <v>429</v>
      </c>
      <c r="D21" s="6" t="s">
        <v>430</v>
      </c>
      <c r="E21" s="6" t="s">
        <v>26</v>
      </c>
      <c r="F21" s="8" t="s">
        <v>413</v>
      </c>
      <c r="G21" s="6">
        <f>COUNTIF(AI_Findings!$K$2:$K$44,A21)</f>
        <v>1</v>
      </c>
    </row>
    <row r="22" spans="1:7" x14ac:dyDescent="0.25">
      <c r="A22" s="6" t="s">
        <v>144</v>
      </c>
      <c r="B22" s="6" t="s">
        <v>381</v>
      </c>
      <c r="C22" s="6" t="s">
        <v>431</v>
      </c>
      <c r="D22" s="6" t="s">
        <v>432</v>
      </c>
      <c r="E22" s="6" t="s">
        <v>26</v>
      </c>
      <c r="F22" s="8" t="s">
        <v>400</v>
      </c>
      <c r="G22" s="6">
        <f>COUNTIF(AI_Findings!$K$2:$K$44,A22)</f>
        <v>1</v>
      </c>
    </row>
    <row r="23" spans="1:7" x14ac:dyDescent="0.25">
      <c r="A23" s="6" t="s">
        <v>149</v>
      </c>
      <c r="B23" s="6" t="s">
        <v>381</v>
      </c>
      <c r="C23" s="6" t="s">
        <v>433</v>
      </c>
      <c r="D23" s="6" t="s">
        <v>434</v>
      </c>
      <c r="E23" s="6" t="s">
        <v>26</v>
      </c>
      <c r="F23" s="8" t="s">
        <v>400</v>
      </c>
      <c r="G23" s="6">
        <f>COUNTIF(AI_Findings!$K$2:$K$44,A23)</f>
        <v>1</v>
      </c>
    </row>
    <row r="24" spans="1:7" x14ac:dyDescent="0.25">
      <c r="A24" s="6" t="s">
        <v>156</v>
      </c>
      <c r="B24" s="6" t="s">
        <v>381</v>
      </c>
      <c r="C24" s="6" t="s">
        <v>435</v>
      </c>
      <c r="D24" s="6" t="s">
        <v>436</v>
      </c>
      <c r="E24" s="6" t="s">
        <v>35</v>
      </c>
      <c r="F24" s="8" t="s">
        <v>400</v>
      </c>
      <c r="G24" s="6">
        <f>COUNTIF(AI_Findings!$K$2:$K$44,A24)</f>
        <v>1</v>
      </c>
    </row>
    <row r="25" spans="1:7" x14ac:dyDescent="0.25">
      <c r="A25" s="6" t="s">
        <v>162</v>
      </c>
      <c r="B25" s="6" t="s">
        <v>389</v>
      </c>
      <c r="C25" s="6" t="s">
        <v>437</v>
      </c>
      <c r="D25" s="6" t="s">
        <v>438</v>
      </c>
      <c r="E25" s="6" t="s">
        <v>35</v>
      </c>
      <c r="F25" s="8" t="s">
        <v>413</v>
      </c>
      <c r="G25" s="6">
        <f>COUNTIF(AI_Findings!$K$2:$K$44,A25)</f>
        <v>1</v>
      </c>
    </row>
    <row r="26" spans="1:7" x14ac:dyDescent="0.25">
      <c r="A26" s="6" t="s">
        <v>168</v>
      </c>
      <c r="B26" s="6" t="s">
        <v>381</v>
      </c>
      <c r="C26" s="6" t="s">
        <v>439</v>
      </c>
      <c r="D26" s="6" t="s">
        <v>165</v>
      </c>
      <c r="E26" s="6" t="s">
        <v>35</v>
      </c>
      <c r="F26" s="8" t="s">
        <v>400</v>
      </c>
      <c r="G26" s="6">
        <f>COUNTIF(AI_Findings!$K$2:$K$44,A26)</f>
        <v>1</v>
      </c>
    </row>
    <row r="27" spans="1:7" x14ac:dyDescent="0.25">
      <c r="A27" s="6" t="s">
        <v>174</v>
      </c>
      <c r="B27" s="6" t="s">
        <v>381</v>
      </c>
      <c r="C27" s="6" t="s">
        <v>440</v>
      </c>
      <c r="D27" s="6" t="s">
        <v>170</v>
      </c>
      <c r="E27" s="6" t="s">
        <v>35</v>
      </c>
      <c r="F27" s="8" t="s">
        <v>400</v>
      </c>
      <c r="G27" s="6">
        <f>COUNTIF(AI_Findings!$K$2:$K$44,A27)</f>
        <v>1</v>
      </c>
    </row>
    <row r="28" spans="1:7" x14ac:dyDescent="0.25">
      <c r="A28" s="6" t="s">
        <v>180</v>
      </c>
      <c r="B28" s="6" t="s">
        <v>381</v>
      </c>
      <c r="C28" s="6" t="s">
        <v>441</v>
      </c>
      <c r="D28" s="6" t="s">
        <v>442</v>
      </c>
      <c r="E28" s="6" t="s">
        <v>35</v>
      </c>
      <c r="F28" s="8" t="s">
        <v>400</v>
      </c>
      <c r="G28" s="6">
        <f>COUNTIF(AI_Findings!$K$2:$K$44,A28)</f>
        <v>1</v>
      </c>
    </row>
    <row r="29" spans="1:7" x14ac:dyDescent="0.25">
      <c r="A29" s="6" t="s">
        <v>187</v>
      </c>
      <c r="B29" s="6" t="s">
        <v>389</v>
      </c>
      <c r="C29" s="6" t="s">
        <v>443</v>
      </c>
      <c r="D29" s="6" t="s">
        <v>444</v>
      </c>
      <c r="E29" s="6" t="s">
        <v>41</v>
      </c>
      <c r="F29" s="8" t="s">
        <v>397</v>
      </c>
      <c r="G29" s="6">
        <f>COUNTIF(AI_Findings!$K$2:$K$44,A29)</f>
        <v>1</v>
      </c>
    </row>
    <row r="30" spans="1:7" x14ac:dyDescent="0.25">
      <c r="A30" s="6" t="s">
        <v>193</v>
      </c>
      <c r="B30" s="6" t="s">
        <v>381</v>
      </c>
      <c r="C30" s="6" t="s">
        <v>445</v>
      </c>
      <c r="D30" s="6" t="s">
        <v>446</v>
      </c>
      <c r="E30" s="6" t="s">
        <v>41</v>
      </c>
      <c r="F30" s="8" t="s">
        <v>397</v>
      </c>
      <c r="G30" s="6">
        <f>COUNTIF(AI_Findings!$K$2:$K$44,A30)</f>
        <v>1</v>
      </c>
    </row>
    <row r="31" spans="1:7" x14ac:dyDescent="0.25">
      <c r="A31" s="6" t="s">
        <v>204</v>
      </c>
      <c r="B31" s="6" t="s">
        <v>381</v>
      </c>
      <c r="C31" s="6" t="s">
        <v>447</v>
      </c>
      <c r="D31" s="6" t="s">
        <v>448</v>
      </c>
      <c r="E31" s="6" t="s">
        <v>41</v>
      </c>
      <c r="F31" s="8" t="s">
        <v>397</v>
      </c>
      <c r="G31" s="6">
        <f>COUNTIF(AI_Findings!$K$2:$K$44,A31)</f>
        <v>1</v>
      </c>
    </row>
    <row r="32" spans="1:7" x14ac:dyDescent="0.25">
      <c r="A32" s="6" t="s">
        <v>210</v>
      </c>
      <c r="B32" s="6" t="s">
        <v>389</v>
      </c>
      <c r="C32" s="6" t="s">
        <v>449</v>
      </c>
      <c r="D32" s="6" t="s">
        <v>450</v>
      </c>
      <c r="E32" s="6" t="s">
        <v>41</v>
      </c>
      <c r="F32" s="8" t="s">
        <v>397</v>
      </c>
      <c r="G32" s="6">
        <f>COUNTIF(AI_Findings!$K$2:$K$44,A32)</f>
        <v>1</v>
      </c>
    </row>
    <row r="33" spans="1:7" x14ac:dyDescent="0.25">
      <c r="A33" s="6" t="s">
        <v>198</v>
      </c>
      <c r="B33" s="6" t="s">
        <v>381</v>
      </c>
      <c r="C33" s="6" t="s">
        <v>451</v>
      </c>
      <c r="D33" s="6" t="s">
        <v>452</v>
      </c>
      <c r="E33" s="6" t="s">
        <v>41</v>
      </c>
      <c r="F33" s="8" t="s">
        <v>400</v>
      </c>
      <c r="G33" s="6">
        <f>COUNTIF(AI_Findings!$K$2:$K$44,A33)</f>
        <v>1</v>
      </c>
    </row>
    <row r="34" spans="1:7" ht="26.4" x14ac:dyDescent="0.25">
      <c r="A34" s="6" t="s">
        <v>229</v>
      </c>
      <c r="B34" s="6" t="s">
        <v>389</v>
      </c>
      <c r="C34" s="6" t="s">
        <v>453</v>
      </c>
      <c r="D34" s="6" t="s">
        <v>454</v>
      </c>
      <c r="E34" s="6" t="s">
        <v>49</v>
      </c>
      <c r="F34" s="8" t="s">
        <v>397</v>
      </c>
      <c r="G34" s="6">
        <f>COUNTIF(AI_Findings!$K$2:$K$44,A34)</f>
        <v>2</v>
      </c>
    </row>
    <row r="35" spans="1:7" x14ac:dyDescent="0.25">
      <c r="A35" s="6" t="s">
        <v>455</v>
      </c>
      <c r="B35" s="6" t="s">
        <v>410</v>
      </c>
      <c r="C35" s="6" t="s">
        <v>456</v>
      </c>
      <c r="D35" s="6" t="s">
        <v>457</v>
      </c>
      <c r="E35" s="6" t="s">
        <v>49</v>
      </c>
      <c r="F35" s="8" t="s">
        <v>413</v>
      </c>
      <c r="G35" s="6">
        <f>COUNTIF(AI_Findings!$K$2:$K$44,A35)</f>
        <v>0</v>
      </c>
    </row>
    <row r="36" spans="1:7" x14ac:dyDescent="0.25">
      <c r="A36" s="6" t="s">
        <v>217</v>
      </c>
      <c r="B36" s="6" t="s">
        <v>381</v>
      </c>
      <c r="C36" s="6" t="s">
        <v>458</v>
      </c>
      <c r="D36" s="6" t="s">
        <v>459</v>
      </c>
      <c r="E36" s="6" t="s">
        <v>49</v>
      </c>
      <c r="F36" s="8" t="s">
        <v>400</v>
      </c>
      <c r="G36" s="6">
        <f>COUNTIF(AI_Findings!$K$2:$K$44,A36)</f>
        <v>1</v>
      </c>
    </row>
    <row r="37" spans="1:7" x14ac:dyDescent="0.25">
      <c r="A37" s="6" t="s">
        <v>223</v>
      </c>
      <c r="B37" s="6" t="s">
        <v>389</v>
      </c>
      <c r="C37" s="6" t="s">
        <v>460</v>
      </c>
      <c r="D37" s="6" t="s">
        <v>461</v>
      </c>
      <c r="E37" s="6" t="s">
        <v>49</v>
      </c>
      <c r="F37" s="8" t="s">
        <v>394</v>
      </c>
      <c r="G37" s="6">
        <f>COUNTIF(AI_Findings!$K$2:$K$44,A37)</f>
        <v>1</v>
      </c>
    </row>
    <row r="38" spans="1:7" x14ac:dyDescent="0.25">
      <c r="A38" s="6" t="s">
        <v>235</v>
      </c>
      <c r="B38" s="6" t="s">
        <v>381</v>
      </c>
      <c r="C38" s="6" t="s">
        <v>462</v>
      </c>
      <c r="D38" s="6" t="s">
        <v>463</v>
      </c>
      <c r="E38" s="6" t="s">
        <v>49</v>
      </c>
      <c r="F38" s="8" t="s">
        <v>397</v>
      </c>
      <c r="G38" s="6">
        <f>COUNTIF(AI_Findings!$K$2:$K$44,A38)</f>
        <v>1</v>
      </c>
    </row>
    <row r="39" spans="1:7" x14ac:dyDescent="0.25">
      <c r="A39" s="6" t="s">
        <v>253</v>
      </c>
      <c r="B39" s="6" t="s">
        <v>389</v>
      </c>
      <c r="C39" s="6" t="s">
        <v>464</v>
      </c>
      <c r="D39" s="6" t="s">
        <v>465</v>
      </c>
      <c r="E39" s="6" t="s">
        <v>56</v>
      </c>
      <c r="F39" s="8" t="s">
        <v>397</v>
      </c>
      <c r="G39" s="6">
        <f>COUNTIF(AI_Findings!$K$2:$K$44,A39)</f>
        <v>1</v>
      </c>
    </row>
    <row r="40" spans="1:7" x14ac:dyDescent="0.25">
      <c r="A40" s="6" t="s">
        <v>259</v>
      </c>
      <c r="B40" s="6" t="s">
        <v>381</v>
      </c>
      <c r="C40" s="6" t="s">
        <v>466</v>
      </c>
      <c r="D40" s="6" t="s">
        <v>467</v>
      </c>
      <c r="E40" s="6" t="s">
        <v>56</v>
      </c>
      <c r="F40" s="8" t="s">
        <v>397</v>
      </c>
      <c r="G40" s="6">
        <f>COUNTIF(AI_Findings!$K$2:$K$44,A40)</f>
        <v>1</v>
      </c>
    </row>
    <row r="41" spans="1:7" x14ac:dyDescent="0.25">
      <c r="A41" s="6" t="s">
        <v>265</v>
      </c>
      <c r="B41" s="6" t="s">
        <v>381</v>
      </c>
      <c r="C41" s="6" t="s">
        <v>468</v>
      </c>
      <c r="D41" s="6" t="s">
        <v>469</v>
      </c>
      <c r="E41" s="6" t="s">
        <v>56</v>
      </c>
      <c r="F41" s="8" t="s">
        <v>397</v>
      </c>
      <c r="G41" s="6">
        <f>COUNTIF(AI_Findings!$K$2:$K$44,A41)</f>
        <v>1</v>
      </c>
    </row>
    <row r="42" spans="1:7" x14ac:dyDescent="0.25">
      <c r="A42" s="6" t="s">
        <v>271</v>
      </c>
      <c r="B42" s="6" t="s">
        <v>381</v>
      </c>
      <c r="C42" s="6" t="s">
        <v>470</v>
      </c>
      <c r="D42" s="6" t="s">
        <v>471</v>
      </c>
      <c r="E42" s="6" t="s">
        <v>56</v>
      </c>
      <c r="F42" s="8" t="s">
        <v>397</v>
      </c>
      <c r="G42" s="6">
        <f>COUNTIF(AI_Findings!$K$2:$K$44,A42)</f>
        <v>1</v>
      </c>
    </row>
    <row r="43" spans="1:7" x14ac:dyDescent="0.25">
      <c r="A43" s="6" t="s">
        <v>247</v>
      </c>
      <c r="B43" s="6" t="s">
        <v>381</v>
      </c>
      <c r="C43" s="6" t="s">
        <v>472</v>
      </c>
      <c r="D43" s="6" t="s">
        <v>473</v>
      </c>
      <c r="E43" s="6" t="s">
        <v>56</v>
      </c>
      <c r="F43" s="8" t="s">
        <v>400</v>
      </c>
      <c r="G43" s="6">
        <f>COUNTIF(AI_Findings!$K$2:$K$44,A43)</f>
        <v>1</v>
      </c>
    </row>
  </sheetData>
  <autoFilter ref="A1:G43" xr:uid="{00000000-0009-0000-0000-000003000000}"/>
  <dataValidations count="1">
    <dataValidation type="list" sqref="B2:B43" xr:uid="{00000000-0002-0000-0300-000000000000}">
      <formula1>"Accept,Modify,Reject"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1"/>
  <sheetViews>
    <sheetView workbookViewId="0"/>
  </sheetViews>
  <sheetFormatPr defaultRowHeight="13.8" x14ac:dyDescent="0.25"/>
  <cols>
    <col min="1" max="1" width="38" customWidth="1"/>
    <col min="2" max="2" width="12" customWidth="1"/>
  </cols>
  <sheetData>
    <row r="1" spans="1:2" x14ac:dyDescent="0.25">
      <c r="A1" s="9" t="s">
        <v>474</v>
      </c>
    </row>
    <row r="2" spans="1:2" x14ac:dyDescent="0.25">
      <c r="A2" s="10" t="s">
        <v>475</v>
      </c>
      <c r="B2" s="10" t="s">
        <v>476</v>
      </c>
    </row>
    <row r="3" spans="1:2" x14ac:dyDescent="0.25">
      <c r="A3" s="11" t="s">
        <v>119</v>
      </c>
      <c r="B3" s="11">
        <f>COUNTIF(AI_Findings!$B$2:$B$44,A3)</f>
        <v>5</v>
      </c>
    </row>
    <row r="4" spans="1:2" x14ac:dyDescent="0.25">
      <c r="A4" s="11" t="s">
        <v>151</v>
      </c>
      <c r="B4" s="11">
        <f>COUNTIF(AI_Findings!$B$2:$B$44,A4)</f>
        <v>5</v>
      </c>
    </row>
    <row r="5" spans="1:2" x14ac:dyDescent="0.25">
      <c r="A5" s="11" t="s">
        <v>182</v>
      </c>
      <c r="B5" s="11">
        <f>COUNTIF(AI_Findings!$B$2:$B$44,A5)</f>
        <v>5</v>
      </c>
    </row>
    <row r="6" spans="1:2" x14ac:dyDescent="0.25">
      <c r="A6" s="11" t="s">
        <v>212</v>
      </c>
      <c r="B6" s="11">
        <f>COUNTIF(AI_Findings!$B$2:$B$44,A6)</f>
        <v>5</v>
      </c>
    </row>
    <row r="7" spans="1:2" x14ac:dyDescent="0.25">
      <c r="A7" s="11" t="s">
        <v>242</v>
      </c>
      <c r="B7" s="11">
        <f>COUNTIF(AI_Findings!$B$2:$B$44,A7)</f>
        <v>5</v>
      </c>
    </row>
    <row r="8" spans="1:2" x14ac:dyDescent="0.25">
      <c r="A8" s="11" t="s">
        <v>273</v>
      </c>
      <c r="B8" s="11">
        <f>COUNTIF(AI_Findings!$B$2:$B$44,A8)</f>
        <v>5</v>
      </c>
    </row>
    <row r="9" spans="1:2" x14ac:dyDescent="0.25">
      <c r="A9" s="11" t="s">
        <v>305</v>
      </c>
      <c r="B9" s="11">
        <f>COUNTIF(AI_Findings!$B$2:$B$44,A9)</f>
        <v>1</v>
      </c>
    </row>
    <row r="10" spans="1:2" x14ac:dyDescent="0.25">
      <c r="A10" s="11" t="s">
        <v>312</v>
      </c>
      <c r="B10" s="11">
        <f>COUNTIF(AI_Findings!$B$2:$B$44,A10)</f>
        <v>3</v>
      </c>
    </row>
    <row r="11" spans="1:2" x14ac:dyDescent="0.25">
      <c r="A11" s="11" t="s">
        <v>330</v>
      </c>
      <c r="B11" s="11">
        <f>COUNTIF(AI_Findings!$B$2:$B$44,A11)</f>
        <v>9</v>
      </c>
    </row>
    <row r="12" spans="1:2" x14ac:dyDescent="0.25">
      <c r="A12" s="12" t="s">
        <v>477</v>
      </c>
      <c r="B12" s="12">
        <f>SUM(B3:B11)</f>
        <v>43</v>
      </c>
    </row>
    <row r="14" spans="1:2" x14ac:dyDescent="0.25">
      <c r="A14" s="9" t="s">
        <v>478</v>
      </c>
    </row>
    <row r="15" spans="1:2" x14ac:dyDescent="0.25">
      <c r="A15" s="10" t="s">
        <v>475</v>
      </c>
      <c r="B15" s="10" t="s">
        <v>476</v>
      </c>
    </row>
    <row r="16" spans="1:2" x14ac:dyDescent="0.25">
      <c r="A16" s="11" t="s">
        <v>123</v>
      </c>
      <c r="B16" s="11">
        <f>COUNTIF(AI_Findings!$H$2:$H$44,A16)</f>
        <v>10</v>
      </c>
    </row>
    <row r="17" spans="1:2" x14ac:dyDescent="0.25">
      <c r="A17" s="11" t="s">
        <v>129</v>
      </c>
      <c r="B17" s="11">
        <f>COUNTIF(AI_Findings!$H$2:$H$44,A17)</f>
        <v>19</v>
      </c>
    </row>
    <row r="18" spans="1:2" x14ac:dyDescent="0.25">
      <c r="A18" s="11" t="s">
        <v>146</v>
      </c>
      <c r="B18" s="11">
        <f>COUNTIF(AI_Findings!$H$2:$H$44,A18)</f>
        <v>8</v>
      </c>
    </row>
    <row r="19" spans="1:2" x14ac:dyDescent="0.25">
      <c r="A19" s="11" t="s">
        <v>371</v>
      </c>
      <c r="B19" s="11">
        <f>COUNTIF(AI_Findings!$H$2:$H$44,A19)</f>
        <v>1</v>
      </c>
    </row>
    <row r="20" spans="1:2" x14ac:dyDescent="0.25">
      <c r="A20" s="11" t="s">
        <v>277</v>
      </c>
      <c r="B20" s="11">
        <f>COUNTIF(AI_Findings!$H$2:$H$44,A20)</f>
        <v>5</v>
      </c>
    </row>
    <row r="21" spans="1:2" x14ac:dyDescent="0.25">
      <c r="A21" s="12" t="s">
        <v>477</v>
      </c>
      <c r="B21" s="12">
        <f>SUM(B16:B20)</f>
        <v>43</v>
      </c>
    </row>
    <row r="23" spans="1:2" x14ac:dyDescent="0.25">
      <c r="A23" s="9" t="s">
        <v>479</v>
      </c>
    </row>
    <row r="24" spans="1:2" x14ac:dyDescent="0.25">
      <c r="A24" s="10" t="s">
        <v>475</v>
      </c>
      <c r="B24" s="10" t="s">
        <v>476</v>
      </c>
    </row>
    <row r="25" spans="1:2" x14ac:dyDescent="0.25">
      <c r="A25" s="11" t="s">
        <v>381</v>
      </c>
      <c r="B25" s="11">
        <f>COUNTIF(Decisions!$B$2:$B$43,A25)</f>
        <v>27</v>
      </c>
    </row>
    <row r="26" spans="1:2" x14ac:dyDescent="0.25">
      <c r="A26" s="11" t="s">
        <v>389</v>
      </c>
      <c r="B26" s="11">
        <f>COUNTIF(Decisions!$B$2:$B$43,A26)</f>
        <v>12</v>
      </c>
    </row>
    <row r="27" spans="1:2" x14ac:dyDescent="0.25">
      <c r="A27" s="11" t="s">
        <v>410</v>
      </c>
      <c r="B27" s="11">
        <f>COUNTIF(Decisions!$B$2:$B$43,A27)</f>
        <v>3</v>
      </c>
    </row>
    <row r="28" spans="1:2" x14ac:dyDescent="0.25">
      <c r="A28" s="12" t="s">
        <v>477</v>
      </c>
      <c r="B28" s="12">
        <f>SUM(B25:B27)</f>
        <v>42</v>
      </c>
    </row>
    <row r="30" spans="1:2" x14ac:dyDescent="0.25">
      <c r="A30" s="9" t="s">
        <v>480</v>
      </c>
    </row>
    <row r="31" spans="1:2" x14ac:dyDescent="0.25">
      <c r="A31" s="10" t="s">
        <v>475</v>
      </c>
      <c r="B31" s="10" t="s">
        <v>476</v>
      </c>
    </row>
    <row r="32" spans="1:2" x14ac:dyDescent="0.25">
      <c r="A32" s="11" t="s">
        <v>384</v>
      </c>
      <c r="B32" s="11">
        <f>COUNTIF(Decisions!$F$2:$F$43,A32)</f>
        <v>4</v>
      </c>
    </row>
    <row r="33" spans="1:2" x14ac:dyDescent="0.25">
      <c r="A33" s="11" t="s">
        <v>397</v>
      </c>
      <c r="B33" s="11">
        <f>COUNTIF(Decisions!$F$2:$F$43,A33)</f>
        <v>16</v>
      </c>
    </row>
    <row r="34" spans="1:2" x14ac:dyDescent="0.25">
      <c r="A34" s="11" t="s">
        <v>394</v>
      </c>
      <c r="B34" s="11">
        <f>COUNTIF(Decisions!$F$2:$F$43,A34)</f>
        <v>2</v>
      </c>
    </row>
    <row r="35" spans="1:2" x14ac:dyDescent="0.25">
      <c r="A35" s="11" t="s">
        <v>407</v>
      </c>
      <c r="B35" s="11">
        <f>COUNTIF(Decisions!$F$2:$F$43,A35)</f>
        <v>1</v>
      </c>
    </row>
    <row r="36" spans="1:2" x14ac:dyDescent="0.25">
      <c r="A36" s="11" t="s">
        <v>400</v>
      </c>
      <c r="B36" s="11">
        <f>COUNTIF(Decisions!$F$2:$F$43,A36)</f>
        <v>14</v>
      </c>
    </row>
    <row r="37" spans="1:2" x14ac:dyDescent="0.25">
      <c r="A37" s="11" t="s">
        <v>424</v>
      </c>
      <c r="B37" s="11">
        <f>COUNTIF(Decisions!$F$2:$F$43,A37)</f>
        <v>1</v>
      </c>
    </row>
    <row r="38" spans="1:2" x14ac:dyDescent="0.25">
      <c r="A38" s="11" t="s">
        <v>413</v>
      </c>
      <c r="B38" s="11">
        <f>COUNTIF(Decisions!$F$2:$F$43,A38)</f>
        <v>4</v>
      </c>
    </row>
    <row r="39" spans="1:2" x14ac:dyDescent="0.25">
      <c r="A39" s="12" t="s">
        <v>477</v>
      </c>
      <c r="B39" s="12">
        <f>SUM(B32:B38)</f>
        <v>42</v>
      </c>
    </row>
    <row r="41" spans="1:2" x14ac:dyDescent="0.25">
      <c r="A41" s="12" t="s">
        <v>481</v>
      </c>
      <c r="B41" s="12">
        <f>COUNTIF(AI_Findings!$L$2:$L$44,"Chưa quyết định")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Versions</vt:lpstr>
      <vt:lpstr>AI_Findings</vt:lpstr>
      <vt:lpstr>Decisions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Babluokei4</cp:lastModifiedBy>
  <dcterms:created xsi:type="dcterms:W3CDTF">2026-10-19T22:58:00Z</dcterms:created>
  <dcterms:modified xsi:type="dcterms:W3CDTF">2026-10-19T22:58:02Z</dcterms:modified>
</cp:coreProperties>
</file>