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FPTU\Sem8\PRM323\prm393-lab2\ux\survey\"/>
    </mc:Choice>
  </mc:AlternateContent>
  <xr:revisionPtr revIDLastSave="0" documentId="13_ncr:1_{FEB167A6-DACC-4B4C-BE36-9228DF6829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cTruoc" sheetId="1" r:id="rId1"/>
    <sheet name="PhanHoi" sheetId="2" r:id="rId2"/>
    <sheet name="PhanTi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5" i="3" s="1"/>
  <c r="D15" i="3" s="1"/>
  <c r="B13" i="3"/>
  <c r="B12" i="3"/>
  <c r="B11" i="3"/>
  <c r="B8" i="3"/>
  <c r="D8" i="3" s="1"/>
  <c r="B7" i="3"/>
  <c r="D7" i="3" s="1"/>
  <c r="H6" i="3"/>
  <c r="H5" i="3"/>
  <c r="H4" i="3"/>
  <c r="H3" i="3"/>
  <c r="H2" i="3"/>
  <c r="B2" i="3"/>
  <c r="B10" i="3" l="1"/>
  <c r="D10" i="3" s="1"/>
  <c r="B9" i="3"/>
  <c r="B4" i="3"/>
  <c r="B3" i="3"/>
  <c r="D3" i="3" s="1"/>
  <c r="B6" i="3" l="1"/>
  <c r="D6" i="3" s="1"/>
  <c r="B5" i="3"/>
  <c r="D5" i="3" s="1"/>
</calcChain>
</file>

<file path=xl/sharedStrings.xml><?xml version="1.0" encoding="utf-8"?>
<sst xmlns="http://schemas.openxmlformats.org/spreadsheetml/2006/main" count="485" uniqueCount="196">
  <si>
    <t>DỮ LIỆU MÔ PHỎNG — KHÔNG PHẢI KHẢO SÁT THẬT</t>
  </si>
  <si>
    <t>20 phản hồi SIM-S01…S20 do AI (Claude Opus 5.5) tạo ngày 20/10/2026 để thử form và sheet phân tích.</t>
  </si>
  <si>
    <t>Dữ liệu được tạo theo hướng ủng hộ giả định của nhóm, nên KHÔNG dùng làm bằng chứng. Nhãn: Assumed.</t>
  </si>
  <si>
    <t>Khi có khảo sát thật: Google Sheet → File → Download → CSV, dán đè vào sheet PhanHoi từ ô C2 (giữ nguyên thứ tự cột).</t>
  </si>
  <si>
    <t>Sheet PhanTich tự tính lại. Sau đó đổi nhãn sang Reported và ghi số phản hồi, ngày vào ux/p1-research.md.</t>
  </si>
  <si>
    <t>Mã</t>
  </si>
  <si>
    <t>Thời gian</t>
  </si>
  <si>
    <t>Q0 Đồng ý</t>
  </si>
  <si>
    <t>Q1 Năm học</t>
  </si>
  <si>
    <t>Q2 Nơi ở</t>
  </si>
  <si>
    <t>Q3 Số slot/ngày</t>
  </si>
  <si>
    <t>Q4 Điện thoại</t>
  </si>
  <si>
    <t>Q5 Phút nghỉ giữa 2 slot</t>
  </si>
  <si>
    <t>Q6 Di chuyển giữa phòng</t>
  </si>
  <si>
    <t>Q7 Cầm máy khi đi</t>
  </si>
  <si>
    <t>Q8 Lần mua gần nhất</t>
  </si>
  <si>
    <t>Q9 Thời gian chờ</t>
  </si>
  <si>
    <t>Q10 Số lần bỏ mua 7 ngày</t>
  </si>
  <si>
    <t>Q11 Bỏ mua thì làm gì</t>
  </si>
  <si>
    <t>Q12 Đã biết trước khi mua</t>
  </si>
  <si>
    <t>Q13 Quán mở/đóng</t>
  </si>
  <si>
    <t>Q13 Món còn/hết</t>
  </si>
  <si>
    <t>Q13 Thời gian chờ</t>
  </si>
  <si>
    <t>Q13 Tổng tiền</t>
  </si>
  <si>
    <t>Q13 Khuyến mãi</t>
  </si>
  <si>
    <t>Q14 App đặt đồ ăn</t>
  </si>
  <si>
    <t>Q15 Lần cài app gần nhất</t>
  </si>
  <si>
    <t>Q16 Khả năng cài (1–5)</t>
  </si>
  <si>
    <t>Q17 Lý do không cài</t>
  </si>
  <si>
    <t>Q18 Cách trả tiền</t>
  </si>
  <si>
    <t>Q19 Từng lỗi thanh toán</t>
  </si>
  <si>
    <t>Q20 Xử lý lỗi</t>
  </si>
  <si>
    <t>Q21 Kể lại</t>
  </si>
  <si>
    <t>Q22 Liên hệ</t>
  </si>
  <si>
    <t>SIM-S01</t>
  </si>
  <si>
    <t>20/10/2026 19:00</t>
  </si>
  <si>
    <t>Tôi đồng ý tham gia</t>
  </si>
  <si>
    <t>Năm 1</t>
  </si>
  <si>
    <t>Ký túc xá</t>
  </si>
  <si>
    <t>2</t>
  </si>
  <si>
    <t>Android</t>
  </si>
  <si>
    <t>10–15 phút</t>
  </si>
  <si>
    <t>2–5 phút</t>
  </si>
  <si>
    <t>Một tay</t>
  </si>
  <si>
    <t>Hôm nay</t>
  </si>
  <si>
    <t>6–10 phút</t>
  </si>
  <si>
    <t>1</t>
  </si>
  <si>
    <t>Nhịn tới bữa sau</t>
  </si>
  <si>
    <t>Giá</t>
  </si>
  <si>
    <t>ShopeeFood</t>
  </si>
  <si>
    <t>Trong tháng này</t>
  </si>
  <si>
    <t>Phải đăng ký tài khoản</t>
  </si>
  <si>
    <t>Chuyển khoản / QR ngân hàng</t>
  </si>
  <si>
    <t>Có</t>
  </si>
  <si>
    <t>Trả tiền mặt</t>
  </si>
  <si>
    <t>SIM-S02</t>
  </si>
  <si>
    <t>20/10/2026 19:07</t>
  </si>
  <si>
    <t>Năm 2</t>
  </si>
  <si>
    <t>Nhà trọ gần trường</t>
  </si>
  <si>
    <t>3</t>
  </si>
  <si>
    <t>iPhone</t>
  </si>
  <si>
    <t>Dưới 10 phút</t>
  </si>
  <si>
    <t>Trên 5 phút</t>
  </si>
  <si>
    <t>Trong tuần này</t>
  </si>
  <si>
    <t>Trên 10 phút</t>
  </si>
  <si>
    <t>2–3</t>
  </si>
  <si>
    <t>Nhịn tới bữa sau, Mua ở ngoài cổng</t>
  </si>
  <si>
    <t>Không biết gì cả</t>
  </si>
  <si>
    <t>GrabFood, ShopeeFood</t>
  </si>
  <si>
    <t>Không có lý do</t>
  </si>
  <si>
    <t>Chuyển khoản / QR ngân hàng, Ví điện tử (MoMo, ZaloPay…)</t>
  </si>
  <si>
    <t>Đổi sang cách trả khác</t>
  </si>
  <si>
    <t>Ra căn tin thì hàng dài, đứng 10 phút chưa tới lượt nên bỏ về lớp, nhịn tới trưa.</t>
  </si>
  <si>
    <t>SIM-S03</t>
  </si>
  <si>
    <t>20/10/2026 19:14</t>
  </si>
  <si>
    <t>Hai tay</t>
  </si>
  <si>
    <t>Ăn đồ mang theo</t>
  </si>
  <si>
    <t>Giá, Món nào còn</t>
  </si>
  <si>
    <t>Phải đăng ký tài khoản, Tốn bộ nhớ</t>
  </si>
  <si>
    <t>Tiền mặt, Chuyển khoản / QR ngân hàng</t>
  </si>
  <si>
    <t>Không</t>
  </si>
  <si>
    <t>SIM-S04</t>
  </si>
  <si>
    <t>20/10/2026 19:21</t>
  </si>
  <si>
    <t>Năm 3</t>
  </si>
  <si>
    <t>Nhà riêng / người thân</t>
  </si>
  <si>
    <t>16–20 phút</t>
  </si>
  <si>
    <t>Dưới 2 phút</t>
  </si>
  <si>
    <t>3–5 phút</t>
  </si>
  <si>
    <t>0</t>
  </si>
  <si>
    <t>Không áp dụng</t>
  </si>
  <si>
    <t>Quán mở hay đóng, Giá</t>
  </si>
  <si>
    <t>Không dùng</t>
  </si>
  <si>
    <t>Vài tháng trước</t>
  </si>
  <si>
    <t>Ít khi mua ở trường</t>
  </si>
  <si>
    <t>Tiền mặt</t>
  </si>
  <si>
    <t>SIM-S05</t>
  </si>
  <si>
    <t>20/10/2026 19:28</t>
  </si>
  <si>
    <t>Mua ở ngoài cổng</t>
  </si>
  <si>
    <t>ShopeeFood, beFood</t>
  </si>
  <si>
    <t>SIM-S06</t>
  </si>
  <si>
    <t>20/10/2026 19:35</t>
  </si>
  <si>
    <t>4 trở lên</t>
  </si>
  <si>
    <t>4 lần trở lên</t>
  </si>
  <si>
    <t>Nhịn tới bữa sau, Đặt app giao hàng</t>
  </si>
  <si>
    <t>GrabFood</t>
  </si>
  <si>
    <t>Đã có app khác, Phải đăng ký tài khoản</t>
  </si>
  <si>
    <t>Ví điện tử (MoMo, ZaloPay…), Thẻ</t>
  </si>
  <si>
    <t>Bỏ đơn</t>
  </si>
  <si>
    <t>Chuyển khoản xong quầy chưa thấy tiền, phải đứng chờ kiểm tra nên vào lớp trễ.</t>
  </si>
  <si>
    <t>SIM-S07</t>
  </si>
  <si>
    <t>20/10/2026 19:42</t>
  </si>
  <si>
    <t>SIM-S08</t>
  </si>
  <si>
    <t>20/10/2026 19:49</t>
  </si>
  <si>
    <t>Năm 4 trở lên</t>
  </si>
  <si>
    <t>Trên 20 phút</t>
  </si>
  <si>
    <t>Không dùng khi đi bộ</t>
  </si>
  <si>
    <t>Dưới 3 phút</t>
  </si>
  <si>
    <t>Ít khi mua ở trường, Tốn bộ nhớ</t>
  </si>
  <si>
    <t>SIM-S09</t>
  </si>
  <si>
    <t>20/10/2026 19:56</t>
  </si>
  <si>
    <t>Lâu hơn</t>
  </si>
  <si>
    <t>Không nhớ</t>
  </si>
  <si>
    <t>SIM-S10</t>
  </si>
  <si>
    <t>20/10/2026 20:03</t>
  </si>
  <si>
    <t>Tốn bộ nhớ</t>
  </si>
  <si>
    <t>Thử lại cách cũ</t>
  </si>
  <si>
    <t>Không biết quán hết bánh mì, đi xuống rồi mới biết, quay lên không kịp mua chỗ khác.</t>
  </si>
  <si>
    <t>SIM-S11</t>
  </si>
  <si>
    <t>20/10/2026 20:10</t>
  </si>
  <si>
    <t>Phải đăng ký tài khoản, Lo về thanh toán</t>
  </si>
  <si>
    <t>Giờ nghỉ 10 phút mà phòng ở tầng 5, xuống tới nơi đông quá nên thôi.</t>
  </si>
  <si>
    <t>SIM-S12</t>
  </si>
  <si>
    <t>20/10/2026 20:17</t>
  </si>
  <si>
    <t>Quán mở hay đóng</t>
  </si>
  <si>
    <t>ShopeeFood, Xanh SM Ngon</t>
  </si>
  <si>
    <t>SIM-S13</t>
  </si>
  <si>
    <t>20/10/2026 20:24</t>
  </si>
  <si>
    <t>Chưa bao giờ</t>
  </si>
  <si>
    <t>Ít khi mua ở trường, Đã có app khác</t>
  </si>
  <si>
    <t>SIM-S14</t>
  </si>
  <si>
    <t>20/10/2026 20:31</t>
  </si>
  <si>
    <t>SIM-S15</t>
  </si>
  <si>
    <t>20/10/2026 20:38</t>
  </si>
  <si>
    <t>Tốn bộ nhớ, Đã có app khác</t>
  </si>
  <si>
    <t>SIM-S16</t>
  </si>
  <si>
    <t>20/10/2026 20:45</t>
  </si>
  <si>
    <t>Đặt app giao hàng, Mua ở ngoài cổng</t>
  </si>
  <si>
    <t>Đặt ShopeeFood nhưng shipper không vào được tòa nhà, phải chạy ra cổng lấy.</t>
  </si>
  <si>
    <t>SIM-S17</t>
  </si>
  <si>
    <t>20/10/2026 20:52</t>
  </si>
  <si>
    <t>SIM-S18</t>
  </si>
  <si>
    <t>20/10/2026 20:59</t>
  </si>
  <si>
    <t>Ít khi mua ở trường, Phải đăng ký tài khoản</t>
  </si>
  <si>
    <t>SIM-S19</t>
  </si>
  <si>
    <t>20/10/2026 21:06</t>
  </si>
  <si>
    <t>Tiền mặt, Chuyển khoản / QR ngân hàng, Ví điện tử (MoMo, ZaloPay…)</t>
  </si>
  <si>
    <t>SIM-S20</t>
  </si>
  <si>
    <t>20/10/2026 21:13</t>
  </si>
  <si>
    <t>Đã có app khác, Lo về thanh toán</t>
  </si>
  <si>
    <t>Chỉ số</t>
  </si>
  <si>
    <t>Giá trị</t>
  </si>
  <si>
    <t>Ngưỡng</t>
  </si>
  <si>
    <t>Kết luận</t>
  </si>
  <si>
    <t>Câu</t>
  </si>
  <si>
    <t>Q13 · Thông tin</t>
  </si>
  <si>
    <t>Điểm TB</t>
  </si>
  <si>
    <t>Số phản hồi</t>
  </si>
  <si>
    <t>Quán mở/đóng</t>
  </si>
  <si>
    <t>H1 · Tỉ lệ nghỉ ≤ 15 phút</t>
  </si>
  <si>
    <t>Q5</t>
  </si>
  <si>
    <t>Món còn/hết</t>
  </si>
  <si>
    <t>Số người từng mua ở trường</t>
  </si>
  <si>
    <t>Q8</t>
  </si>
  <si>
    <t>Thời gian chờ</t>
  </si>
  <si>
    <t>H2 · Tỉ lệ bỏ mua ≥ 1 lần / 7 ngày (trên người từng mua)</t>
  </si>
  <si>
    <t>Q10</t>
  </si>
  <si>
    <t>Tổng tiền</t>
  </si>
  <si>
    <t>H2 · Tỉ lệ chờ ≥ 6 phút (trên người từng mua)</t>
  </si>
  <si>
    <t>Q9</t>
  </si>
  <si>
    <t>Khuyến mãi</t>
  </si>
  <si>
    <t>H3 · Điểm TB: quán mở/đóng</t>
  </si>
  <si>
    <t>Q13</t>
  </si>
  <si>
    <t>H3 · Điểm TB: thời gian chờ</t>
  </si>
  <si>
    <t>H3 · Tỉ lệ 'Không biết gì cả' trước khi mua</t>
  </si>
  <si>
    <t>Tham khảo</t>
  </si>
  <si>
    <t>Q12</t>
  </si>
  <si>
    <t>H4 · Tỉ lệ chọn 4–5 khả năng cài app</t>
  </si>
  <si>
    <t>Q16</t>
  </si>
  <si>
    <t>H4 · Lý do từ chối: Phải đăng ký tài khoản</t>
  </si>
  <si>
    <t>Q17</t>
  </si>
  <si>
    <t>H4 · Lý do từ chối: Tốn bộ nhớ</t>
  </si>
  <si>
    <t>H4 · Lý do từ chối: Ít khi mua ở trường</t>
  </si>
  <si>
    <t>Số người từng lỗi thanh toán</t>
  </si>
  <si>
    <t>Q19</t>
  </si>
  <si>
    <t>H5 · Tỉ lệ xử lý bằng tiền mặt / đổi cách trả</t>
  </si>
  <si>
    <t>Q20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</si>
</sst>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color rgb="FFB91C1C"/>
      <name val="Arial"/>
    </font>
    <font>
      <b/>
      <sz val="11"/>
      <color rgb="FFFFFFF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622B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Mức quan trọng khi quyết định mua (1–5) · dữ liệu mô phỏng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PhanTich!$H$1</c:f>
              <c:strCache>
                <c:ptCount val="1"/>
                <c:pt idx="0">
                  <c:v>Điểm TB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PhanTich!$G$2:$G$6</c:f>
              <c:strCache>
                <c:ptCount val="5"/>
                <c:pt idx="0">
                  <c:v>Quán mở/đóng</c:v>
                </c:pt>
                <c:pt idx="1">
                  <c:v>Món còn/hết</c:v>
                </c:pt>
                <c:pt idx="2">
                  <c:v>Thời gian chờ</c:v>
                </c:pt>
                <c:pt idx="3">
                  <c:v>Tổng tiền</c:v>
                </c:pt>
                <c:pt idx="4">
                  <c:v>Khuyến mãi</c:v>
                </c:pt>
              </c:strCache>
            </c:strRef>
          </c:cat>
          <c:val>
            <c:numRef>
              <c:f>PhanTich!$H$2:$H$6</c:f>
              <c:numCache>
                <c:formatCode>0.00</c:formatCode>
                <c:ptCount val="5"/>
                <c:pt idx="0">
                  <c:v>4.3499999999999996</c:v>
                </c:pt>
                <c:pt idx="1">
                  <c:v>4.0999999999999996</c:v>
                </c:pt>
                <c:pt idx="2">
                  <c:v>4.5</c:v>
                </c:pt>
                <c:pt idx="3">
                  <c:v>3.85</c:v>
                </c:pt>
                <c:pt idx="4">
                  <c:v>2.95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1-4241-A2DF-979B39196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1"/>
        </c:scaling>
        <c:delete val="1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3.8" x14ac:dyDescent="0.25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29" width="16" customWidth="1"/>
  </cols>
  <sheetData>
    <row r="1" spans="1:29" ht="45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</row>
    <row r="2" spans="1:29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>
        <v>5</v>
      </c>
      <c r="Q2">
        <v>4</v>
      </c>
      <c r="R2">
        <v>5</v>
      </c>
      <c r="S2">
        <v>4</v>
      </c>
      <c r="T2">
        <v>3</v>
      </c>
      <c r="U2" t="s">
        <v>49</v>
      </c>
      <c r="V2" t="s">
        <v>50</v>
      </c>
      <c r="W2">
        <v>4</v>
      </c>
      <c r="X2" t="s">
        <v>51</v>
      </c>
      <c r="Y2" t="s">
        <v>52</v>
      </c>
      <c r="Z2" t="s">
        <v>53</v>
      </c>
      <c r="AA2" t="s">
        <v>54</v>
      </c>
    </row>
    <row r="3" spans="1:29" x14ac:dyDescent="0.25">
      <c r="A3" t="s">
        <v>55</v>
      </c>
      <c r="B3" t="s">
        <v>56</v>
      </c>
      <c r="C3" t="s">
        <v>36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43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>
        <v>4</v>
      </c>
      <c r="Q3">
        <v>4</v>
      </c>
      <c r="R3">
        <v>5</v>
      </c>
      <c r="S3">
        <v>4</v>
      </c>
      <c r="T3">
        <v>2</v>
      </c>
      <c r="U3" t="s">
        <v>68</v>
      </c>
      <c r="V3" t="s">
        <v>63</v>
      </c>
      <c r="W3">
        <v>5</v>
      </c>
      <c r="X3" t="s">
        <v>69</v>
      </c>
      <c r="Y3" t="s">
        <v>70</v>
      </c>
      <c r="Z3" t="s">
        <v>53</v>
      </c>
      <c r="AA3" t="s">
        <v>71</v>
      </c>
      <c r="AB3" t="s">
        <v>72</v>
      </c>
    </row>
    <row r="4" spans="1:29" x14ac:dyDescent="0.25">
      <c r="A4" t="s">
        <v>73</v>
      </c>
      <c r="B4" t="s">
        <v>74</v>
      </c>
      <c r="C4" t="s">
        <v>36</v>
      </c>
      <c r="D4" t="s">
        <v>57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75</v>
      </c>
      <c r="K4" t="s">
        <v>63</v>
      </c>
      <c r="L4" t="s">
        <v>45</v>
      </c>
      <c r="M4" t="s">
        <v>46</v>
      </c>
      <c r="N4" t="s">
        <v>76</v>
      </c>
      <c r="O4" t="s">
        <v>77</v>
      </c>
      <c r="P4">
        <v>5</v>
      </c>
      <c r="Q4">
        <v>5</v>
      </c>
      <c r="R4">
        <v>5</v>
      </c>
      <c r="S4">
        <v>3</v>
      </c>
      <c r="T4">
        <v>3</v>
      </c>
      <c r="U4" t="s">
        <v>49</v>
      </c>
      <c r="V4" t="s">
        <v>50</v>
      </c>
      <c r="W4">
        <v>4</v>
      </c>
      <c r="X4" t="s">
        <v>78</v>
      </c>
      <c r="Y4" t="s">
        <v>79</v>
      </c>
      <c r="Z4" t="s">
        <v>80</v>
      </c>
    </row>
    <row r="5" spans="1:29" x14ac:dyDescent="0.25">
      <c r="A5" t="s">
        <v>81</v>
      </c>
      <c r="B5" t="s">
        <v>82</v>
      </c>
      <c r="C5" t="s">
        <v>36</v>
      </c>
      <c r="D5" t="s">
        <v>83</v>
      </c>
      <c r="E5" t="s">
        <v>84</v>
      </c>
      <c r="F5" t="s">
        <v>39</v>
      </c>
      <c r="G5" t="s">
        <v>40</v>
      </c>
      <c r="H5" t="s">
        <v>85</v>
      </c>
      <c r="I5" t="s">
        <v>86</v>
      </c>
      <c r="J5" t="s">
        <v>43</v>
      </c>
      <c r="K5" t="s">
        <v>50</v>
      </c>
      <c r="L5" t="s">
        <v>87</v>
      </c>
      <c r="M5" t="s">
        <v>88</v>
      </c>
      <c r="N5" t="s">
        <v>89</v>
      </c>
      <c r="O5" t="s">
        <v>90</v>
      </c>
      <c r="P5">
        <v>4</v>
      </c>
      <c r="Q5">
        <v>3</v>
      </c>
      <c r="R5">
        <v>4</v>
      </c>
      <c r="S5">
        <v>4</v>
      </c>
      <c r="T5">
        <v>4</v>
      </c>
      <c r="U5" t="s">
        <v>91</v>
      </c>
      <c r="V5" t="s">
        <v>92</v>
      </c>
      <c r="W5">
        <v>2</v>
      </c>
      <c r="X5" t="s">
        <v>93</v>
      </c>
      <c r="Y5" t="s">
        <v>94</v>
      </c>
      <c r="Z5" t="s">
        <v>80</v>
      </c>
    </row>
    <row r="6" spans="1:29" x14ac:dyDescent="0.25">
      <c r="A6" t="s">
        <v>95</v>
      </c>
      <c r="B6" t="s">
        <v>96</v>
      </c>
      <c r="C6" t="s">
        <v>36</v>
      </c>
      <c r="D6" t="s">
        <v>37</v>
      </c>
      <c r="E6" t="s">
        <v>38</v>
      </c>
      <c r="F6" t="s">
        <v>59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  <c r="M6" t="s">
        <v>65</v>
      </c>
      <c r="N6" t="s">
        <v>97</v>
      </c>
      <c r="O6" t="s">
        <v>67</v>
      </c>
      <c r="P6">
        <v>5</v>
      </c>
      <c r="Q6">
        <v>4</v>
      </c>
      <c r="R6">
        <v>5</v>
      </c>
      <c r="S6">
        <v>5</v>
      </c>
      <c r="T6">
        <v>3</v>
      </c>
      <c r="U6" t="s">
        <v>98</v>
      </c>
      <c r="V6" t="s">
        <v>50</v>
      </c>
      <c r="W6">
        <v>4</v>
      </c>
      <c r="X6" t="s">
        <v>51</v>
      </c>
      <c r="Y6" t="s">
        <v>52</v>
      </c>
      <c r="Z6" t="s">
        <v>53</v>
      </c>
      <c r="AA6" t="s">
        <v>54</v>
      </c>
    </row>
    <row r="7" spans="1:29" x14ac:dyDescent="0.25">
      <c r="A7" t="s">
        <v>99</v>
      </c>
      <c r="B7" t="s">
        <v>100</v>
      </c>
      <c r="C7" t="s">
        <v>36</v>
      </c>
      <c r="D7" t="s">
        <v>57</v>
      </c>
      <c r="E7" t="s">
        <v>58</v>
      </c>
      <c r="F7" t="s">
        <v>101</v>
      </c>
      <c r="G7" t="s">
        <v>60</v>
      </c>
      <c r="H7" t="s">
        <v>61</v>
      </c>
      <c r="I7" t="s">
        <v>62</v>
      </c>
      <c r="J7" t="s">
        <v>43</v>
      </c>
      <c r="K7" t="s">
        <v>63</v>
      </c>
      <c r="L7" t="s">
        <v>64</v>
      </c>
      <c r="M7" t="s">
        <v>102</v>
      </c>
      <c r="N7" t="s">
        <v>103</v>
      </c>
      <c r="O7" t="s">
        <v>48</v>
      </c>
      <c r="P7">
        <v>4</v>
      </c>
      <c r="Q7">
        <v>4</v>
      </c>
      <c r="R7">
        <v>4</v>
      </c>
      <c r="S7">
        <v>3</v>
      </c>
      <c r="T7">
        <v>2</v>
      </c>
      <c r="U7" t="s">
        <v>104</v>
      </c>
      <c r="V7" t="s">
        <v>63</v>
      </c>
      <c r="W7">
        <v>3</v>
      </c>
      <c r="X7" t="s">
        <v>105</v>
      </c>
      <c r="Y7" t="s">
        <v>106</v>
      </c>
      <c r="Z7" t="s">
        <v>53</v>
      </c>
      <c r="AA7" t="s">
        <v>107</v>
      </c>
      <c r="AB7" t="s">
        <v>108</v>
      </c>
    </row>
    <row r="8" spans="1:29" x14ac:dyDescent="0.25">
      <c r="A8" t="s">
        <v>109</v>
      </c>
      <c r="B8" t="s">
        <v>110</v>
      </c>
      <c r="C8" t="s">
        <v>36</v>
      </c>
      <c r="D8" t="s">
        <v>83</v>
      </c>
      <c r="E8" t="s">
        <v>58</v>
      </c>
      <c r="F8" t="s">
        <v>39</v>
      </c>
      <c r="G8" t="s">
        <v>40</v>
      </c>
      <c r="H8" t="s">
        <v>41</v>
      </c>
      <c r="I8" t="s">
        <v>42</v>
      </c>
      <c r="J8" t="s">
        <v>75</v>
      </c>
      <c r="K8" t="s">
        <v>63</v>
      </c>
      <c r="L8" t="s">
        <v>45</v>
      </c>
      <c r="M8" t="s">
        <v>46</v>
      </c>
      <c r="N8" t="s">
        <v>47</v>
      </c>
      <c r="O8" t="s">
        <v>67</v>
      </c>
      <c r="P8">
        <v>5</v>
      </c>
      <c r="Q8">
        <v>5</v>
      </c>
      <c r="R8">
        <v>5</v>
      </c>
      <c r="S8">
        <v>4</v>
      </c>
      <c r="T8">
        <v>3</v>
      </c>
      <c r="U8" t="s">
        <v>49</v>
      </c>
      <c r="V8" t="s">
        <v>50</v>
      </c>
      <c r="W8">
        <v>5</v>
      </c>
      <c r="X8" t="s">
        <v>69</v>
      </c>
      <c r="Y8" t="s">
        <v>52</v>
      </c>
      <c r="Z8" t="s">
        <v>80</v>
      </c>
    </row>
    <row r="9" spans="1:29" x14ac:dyDescent="0.25">
      <c r="A9" t="s">
        <v>111</v>
      </c>
      <c r="B9" t="s">
        <v>112</v>
      </c>
      <c r="C9" t="s">
        <v>36</v>
      </c>
      <c r="D9" t="s">
        <v>113</v>
      </c>
      <c r="E9" t="s">
        <v>38</v>
      </c>
      <c r="F9" t="s">
        <v>59</v>
      </c>
      <c r="G9" t="s">
        <v>60</v>
      </c>
      <c r="H9" t="s">
        <v>114</v>
      </c>
      <c r="I9" t="s">
        <v>86</v>
      </c>
      <c r="J9" t="s">
        <v>115</v>
      </c>
      <c r="K9" t="s">
        <v>50</v>
      </c>
      <c r="L9" t="s">
        <v>116</v>
      </c>
      <c r="M9" t="s">
        <v>88</v>
      </c>
      <c r="N9" t="s">
        <v>89</v>
      </c>
      <c r="O9" t="s">
        <v>90</v>
      </c>
      <c r="P9">
        <v>3</v>
      </c>
      <c r="Q9">
        <v>4</v>
      </c>
      <c r="R9">
        <v>4</v>
      </c>
      <c r="S9">
        <v>4</v>
      </c>
      <c r="T9">
        <v>3</v>
      </c>
      <c r="U9" t="s">
        <v>68</v>
      </c>
      <c r="V9" t="s">
        <v>92</v>
      </c>
      <c r="W9">
        <v>3</v>
      </c>
      <c r="X9" t="s">
        <v>117</v>
      </c>
      <c r="Y9" t="s">
        <v>79</v>
      </c>
      <c r="Z9" t="s">
        <v>80</v>
      </c>
    </row>
    <row r="10" spans="1:29" x14ac:dyDescent="0.25">
      <c r="A10" t="s">
        <v>118</v>
      </c>
      <c r="B10" t="s">
        <v>119</v>
      </c>
      <c r="C10" t="s">
        <v>36</v>
      </c>
      <c r="D10" t="s">
        <v>57</v>
      </c>
      <c r="E10" t="s">
        <v>84</v>
      </c>
      <c r="F10" t="s">
        <v>39</v>
      </c>
      <c r="G10" t="s">
        <v>40</v>
      </c>
      <c r="H10" t="s">
        <v>85</v>
      </c>
      <c r="I10" t="s">
        <v>42</v>
      </c>
      <c r="J10" t="s">
        <v>43</v>
      </c>
      <c r="K10" t="s">
        <v>120</v>
      </c>
      <c r="L10" t="s">
        <v>121</v>
      </c>
      <c r="M10" t="s">
        <v>88</v>
      </c>
      <c r="N10" t="s">
        <v>89</v>
      </c>
      <c r="O10" t="s">
        <v>48</v>
      </c>
      <c r="P10">
        <v>4</v>
      </c>
      <c r="Q10">
        <v>3</v>
      </c>
      <c r="R10">
        <v>3</v>
      </c>
      <c r="S10">
        <v>4</v>
      </c>
      <c r="T10">
        <v>4</v>
      </c>
      <c r="U10" t="s">
        <v>91</v>
      </c>
      <c r="V10" t="s">
        <v>121</v>
      </c>
      <c r="W10">
        <v>2</v>
      </c>
      <c r="X10" t="s">
        <v>93</v>
      </c>
      <c r="Y10" t="s">
        <v>94</v>
      </c>
      <c r="Z10" t="s">
        <v>80</v>
      </c>
    </row>
    <row r="11" spans="1:29" x14ac:dyDescent="0.25">
      <c r="A11" t="s">
        <v>122</v>
      </c>
      <c r="B11" t="s">
        <v>123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65</v>
      </c>
      <c r="N11" t="s">
        <v>97</v>
      </c>
      <c r="O11" t="s">
        <v>67</v>
      </c>
      <c r="P11">
        <v>5</v>
      </c>
      <c r="Q11">
        <v>5</v>
      </c>
      <c r="R11">
        <v>5</v>
      </c>
      <c r="S11">
        <v>4</v>
      </c>
      <c r="T11">
        <v>3</v>
      </c>
      <c r="U11" t="s">
        <v>49</v>
      </c>
      <c r="V11" t="s">
        <v>63</v>
      </c>
      <c r="W11">
        <v>4</v>
      </c>
      <c r="X11" t="s">
        <v>124</v>
      </c>
      <c r="Y11" t="s">
        <v>70</v>
      </c>
      <c r="Z11" t="s">
        <v>53</v>
      </c>
      <c r="AA11" t="s">
        <v>125</v>
      </c>
      <c r="AB11" t="s">
        <v>126</v>
      </c>
    </row>
    <row r="12" spans="1:29" x14ac:dyDescent="0.25">
      <c r="A12" t="s">
        <v>127</v>
      </c>
      <c r="B12" t="s">
        <v>128</v>
      </c>
      <c r="C12" t="s">
        <v>36</v>
      </c>
      <c r="D12" t="s">
        <v>83</v>
      </c>
      <c r="E12" t="s">
        <v>58</v>
      </c>
      <c r="F12" t="s">
        <v>59</v>
      </c>
      <c r="G12" t="s">
        <v>40</v>
      </c>
      <c r="H12" t="s">
        <v>61</v>
      </c>
      <c r="I12" t="s">
        <v>62</v>
      </c>
      <c r="J12" t="s">
        <v>43</v>
      </c>
      <c r="K12" t="s">
        <v>63</v>
      </c>
      <c r="L12" t="s">
        <v>45</v>
      </c>
      <c r="M12" t="s">
        <v>65</v>
      </c>
      <c r="N12" t="s">
        <v>47</v>
      </c>
      <c r="O12" t="s">
        <v>48</v>
      </c>
      <c r="P12">
        <v>4</v>
      </c>
      <c r="Q12">
        <v>4</v>
      </c>
      <c r="R12">
        <v>5</v>
      </c>
      <c r="S12">
        <v>3</v>
      </c>
      <c r="T12">
        <v>2</v>
      </c>
      <c r="U12" t="s">
        <v>104</v>
      </c>
      <c r="V12" t="s">
        <v>92</v>
      </c>
      <c r="W12">
        <v>3</v>
      </c>
      <c r="X12" t="s">
        <v>129</v>
      </c>
      <c r="Y12" t="s">
        <v>79</v>
      </c>
      <c r="Z12" t="s">
        <v>53</v>
      </c>
      <c r="AA12" t="s">
        <v>54</v>
      </c>
      <c r="AB12" t="s">
        <v>130</v>
      </c>
    </row>
    <row r="13" spans="1:29" x14ac:dyDescent="0.25">
      <c r="A13" t="s">
        <v>131</v>
      </c>
      <c r="B13" t="s">
        <v>132</v>
      </c>
      <c r="C13" t="s">
        <v>36</v>
      </c>
      <c r="D13" t="s">
        <v>57</v>
      </c>
      <c r="E13" t="s">
        <v>38</v>
      </c>
      <c r="F13" t="s">
        <v>39</v>
      </c>
      <c r="G13" t="s">
        <v>60</v>
      </c>
      <c r="H13" t="s">
        <v>41</v>
      </c>
      <c r="I13" t="s">
        <v>42</v>
      </c>
      <c r="J13" t="s">
        <v>75</v>
      </c>
      <c r="K13" t="s">
        <v>63</v>
      </c>
      <c r="L13" t="s">
        <v>87</v>
      </c>
      <c r="M13" t="s">
        <v>88</v>
      </c>
      <c r="N13" t="s">
        <v>89</v>
      </c>
      <c r="O13" t="s">
        <v>133</v>
      </c>
      <c r="P13">
        <v>5</v>
      </c>
      <c r="Q13">
        <v>4</v>
      </c>
      <c r="R13">
        <v>5</v>
      </c>
      <c r="S13">
        <v>4</v>
      </c>
      <c r="T13">
        <v>3</v>
      </c>
      <c r="U13" t="s">
        <v>134</v>
      </c>
      <c r="V13" t="s">
        <v>50</v>
      </c>
      <c r="W13">
        <v>5</v>
      </c>
      <c r="X13" t="s">
        <v>69</v>
      </c>
      <c r="Y13" t="s">
        <v>52</v>
      </c>
      <c r="Z13" t="s">
        <v>80</v>
      </c>
    </row>
    <row r="14" spans="1:29" x14ac:dyDescent="0.25">
      <c r="A14" t="s">
        <v>135</v>
      </c>
      <c r="B14" t="s">
        <v>136</v>
      </c>
      <c r="C14" t="s">
        <v>36</v>
      </c>
      <c r="D14" t="s">
        <v>37</v>
      </c>
      <c r="E14" t="s">
        <v>84</v>
      </c>
      <c r="F14" t="s">
        <v>46</v>
      </c>
      <c r="G14" t="s">
        <v>40</v>
      </c>
      <c r="H14" t="s">
        <v>121</v>
      </c>
      <c r="I14" t="s">
        <v>86</v>
      </c>
      <c r="J14" t="s">
        <v>43</v>
      </c>
      <c r="K14" t="s">
        <v>137</v>
      </c>
      <c r="O14" t="s">
        <v>67</v>
      </c>
      <c r="P14">
        <v>3</v>
      </c>
      <c r="Q14">
        <v>3</v>
      </c>
      <c r="R14">
        <v>3</v>
      </c>
      <c r="S14">
        <v>4</v>
      </c>
      <c r="T14">
        <v>3</v>
      </c>
      <c r="U14" t="s">
        <v>91</v>
      </c>
      <c r="V14" t="s">
        <v>92</v>
      </c>
      <c r="W14">
        <v>1</v>
      </c>
      <c r="X14" t="s">
        <v>138</v>
      </c>
      <c r="Y14" t="s">
        <v>94</v>
      </c>
      <c r="Z14" t="s">
        <v>80</v>
      </c>
    </row>
    <row r="15" spans="1:29" x14ac:dyDescent="0.25">
      <c r="A15" t="s">
        <v>139</v>
      </c>
      <c r="B15" t="s">
        <v>140</v>
      </c>
      <c r="C15" t="s">
        <v>36</v>
      </c>
      <c r="D15" t="s">
        <v>57</v>
      </c>
      <c r="E15" t="s">
        <v>58</v>
      </c>
      <c r="F15" t="s">
        <v>59</v>
      </c>
      <c r="G15" t="s">
        <v>40</v>
      </c>
      <c r="H15" t="s">
        <v>41</v>
      </c>
      <c r="I15" t="s">
        <v>42</v>
      </c>
      <c r="J15" t="s">
        <v>43</v>
      </c>
      <c r="K15" t="s">
        <v>63</v>
      </c>
      <c r="L15" t="s">
        <v>45</v>
      </c>
      <c r="M15" t="s">
        <v>46</v>
      </c>
      <c r="N15" t="s">
        <v>76</v>
      </c>
      <c r="O15" t="s">
        <v>77</v>
      </c>
      <c r="P15">
        <v>5</v>
      </c>
      <c r="Q15">
        <v>5</v>
      </c>
      <c r="R15">
        <v>5</v>
      </c>
      <c r="S15">
        <v>5</v>
      </c>
      <c r="T15">
        <v>4</v>
      </c>
      <c r="U15" t="s">
        <v>49</v>
      </c>
      <c r="V15" t="s">
        <v>50</v>
      </c>
      <c r="W15">
        <v>4</v>
      </c>
      <c r="X15" t="s">
        <v>51</v>
      </c>
      <c r="Y15" t="s">
        <v>70</v>
      </c>
      <c r="Z15" t="s">
        <v>53</v>
      </c>
      <c r="AA15" t="s">
        <v>71</v>
      </c>
    </row>
    <row r="16" spans="1:29" x14ac:dyDescent="0.25">
      <c r="A16" t="s">
        <v>141</v>
      </c>
      <c r="B16" t="s">
        <v>142</v>
      </c>
      <c r="C16" t="s">
        <v>36</v>
      </c>
      <c r="D16" t="s">
        <v>83</v>
      </c>
      <c r="E16" t="s">
        <v>38</v>
      </c>
      <c r="F16" t="s">
        <v>39</v>
      </c>
      <c r="G16" t="s">
        <v>60</v>
      </c>
      <c r="H16" t="s">
        <v>85</v>
      </c>
      <c r="I16" t="s">
        <v>86</v>
      </c>
      <c r="J16" t="s">
        <v>75</v>
      </c>
      <c r="K16" t="s">
        <v>50</v>
      </c>
      <c r="L16" t="s">
        <v>87</v>
      </c>
      <c r="M16" t="s">
        <v>88</v>
      </c>
      <c r="N16" t="s">
        <v>89</v>
      </c>
      <c r="O16" t="s">
        <v>48</v>
      </c>
      <c r="P16">
        <v>4</v>
      </c>
      <c r="Q16">
        <v>4</v>
      </c>
      <c r="R16">
        <v>4</v>
      </c>
      <c r="S16">
        <v>3</v>
      </c>
      <c r="T16">
        <v>2</v>
      </c>
      <c r="U16" t="s">
        <v>68</v>
      </c>
      <c r="V16" t="s">
        <v>92</v>
      </c>
      <c r="W16">
        <v>3</v>
      </c>
      <c r="X16" t="s">
        <v>143</v>
      </c>
      <c r="Y16" t="s">
        <v>79</v>
      </c>
      <c r="Z16" t="s">
        <v>80</v>
      </c>
    </row>
    <row r="17" spans="1:28" x14ac:dyDescent="0.25">
      <c r="A17" t="s">
        <v>144</v>
      </c>
      <c r="B17" t="s">
        <v>145</v>
      </c>
      <c r="C17" t="s">
        <v>36</v>
      </c>
      <c r="D17" t="s">
        <v>113</v>
      </c>
      <c r="E17" t="s">
        <v>58</v>
      </c>
      <c r="F17" t="s">
        <v>39</v>
      </c>
      <c r="G17" t="s">
        <v>40</v>
      </c>
      <c r="H17" t="s">
        <v>61</v>
      </c>
      <c r="I17" t="s">
        <v>62</v>
      </c>
      <c r="J17" t="s">
        <v>43</v>
      </c>
      <c r="K17" t="s">
        <v>63</v>
      </c>
      <c r="L17" t="s">
        <v>64</v>
      </c>
      <c r="M17" t="s">
        <v>65</v>
      </c>
      <c r="N17" t="s">
        <v>146</v>
      </c>
      <c r="O17" t="s">
        <v>67</v>
      </c>
      <c r="P17">
        <v>4</v>
      </c>
      <c r="Q17">
        <v>4</v>
      </c>
      <c r="R17">
        <v>4</v>
      </c>
      <c r="S17">
        <v>4</v>
      </c>
      <c r="T17">
        <v>3</v>
      </c>
      <c r="U17" t="s">
        <v>49</v>
      </c>
      <c r="V17" t="s">
        <v>63</v>
      </c>
      <c r="W17">
        <v>4</v>
      </c>
      <c r="X17" t="s">
        <v>129</v>
      </c>
      <c r="Y17" t="s">
        <v>70</v>
      </c>
      <c r="Z17" t="s">
        <v>53</v>
      </c>
      <c r="AA17" t="s">
        <v>54</v>
      </c>
      <c r="AB17" t="s">
        <v>147</v>
      </c>
    </row>
    <row r="18" spans="1:28" x14ac:dyDescent="0.25">
      <c r="A18" t="s">
        <v>148</v>
      </c>
      <c r="B18" t="s">
        <v>149</v>
      </c>
      <c r="C18" t="s">
        <v>36</v>
      </c>
      <c r="D18" t="s">
        <v>57</v>
      </c>
      <c r="E18" t="s">
        <v>38</v>
      </c>
      <c r="F18" t="s">
        <v>59</v>
      </c>
      <c r="G18" t="s">
        <v>60</v>
      </c>
      <c r="H18" t="s">
        <v>41</v>
      </c>
      <c r="I18" t="s">
        <v>42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>
        <v>5</v>
      </c>
      <c r="Q18">
        <v>5</v>
      </c>
      <c r="R18">
        <v>5</v>
      </c>
      <c r="S18">
        <v>4</v>
      </c>
      <c r="T18">
        <v>3</v>
      </c>
      <c r="U18" t="s">
        <v>104</v>
      </c>
      <c r="V18" t="s">
        <v>50</v>
      </c>
      <c r="W18">
        <v>5</v>
      </c>
      <c r="X18" t="s">
        <v>124</v>
      </c>
      <c r="Y18" t="s">
        <v>52</v>
      </c>
      <c r="Z18" t="s">
        <v>80</v>
      </c>
    </row>
    <row r="19" spans="1:28" x14ac:dyDescent="0.25">
      <c r="A19" t="s">
        <v>150</v>
      </c>
      <c r="B19" t="s">
        <v>151</v>
      </c>
      <c r="C19" t="s">
        <v>36</v>
      </c>
      <c r="D19" t="s">
        <v>37</v>
      </c>
      <c r="E19" t="s">
        <v>84</v>
      </c>
      <c r="F19" t="s">
        <v>39</v>
      </c>
      <c r="G19" t="s">
        <v>40</v>
      </c>
      <c r="H19" t="s">
        <v>114</v>
      </c>
      <c r="I19" t="s">
        <v>86</v>
      </c>
      <c r="J19" t="s">
        <v>115</v>
      </c>
      <c r="K19" t="s">
        <v>137</v>
      </c>
      <c r="O19" t="s">
        <v>67</v>
      </c>
      <c r="P19">
        <v>4</v>
      </c>
      <c r="Q19">
        <v>4</v>
      </c>
      <c r="R19">
        <v>5</v>
      </c>
      <c r="S19">
        <v>4</v>
      </c>
      <c r="T19">
        <v>3</v>
      </c>
      <c r="U19" t="s">
        <v>91</v>
      </c>
      <c r="V19" t="s">
        <v>121</v>
      </c>
      <c r="W19">
        <v>2</v>
      </c>
      <c r="X19" t="s">
        <v>152</v>
      </c>
      <c r="Y19" t="s">
        <v>94</v>
      </c>
      <c r="Z19" t="s">
        <v>80</v>
      </c>
    </row>
    <row r="20" spans="1:28" x14ac:dyDescent="0.25">
      <c r="A20" t="s">
        <v>153</v>
      </c>
      <c r="B20" t="s">
        <v>154</v>
      </c>
      <c r="C20" t="s">
        <v>36</v>
      </c>
      <c r="D20" t="s">
        <v>83</v>
      </c>
      <c r="E20" t="s">
        <v>58</v>
      </c>
      <c r="F20" t="s">
        <v>59</v>
      </c>
      <c r="G20" t="s">
        <v>40</v>
      </c>
      <c r="H20" t="s">
        <v>41</v>
      </c>
      <c r="I20" t="s">
        <v>42</v>
      </c>
      <c r="J20" t="s">
        <v>75</v>
      </c>
      <c r="K20" t="s">
        <v>63</v>
      </c>
      <c r="L20" t="s">
        <v>87</v>
      </c>
      <c r="M20" t="s">
        <v>88</v>
      </c>
      <c r="N20" t="s">
        <v>89</v>
      </c>
      <c r="O20" t="s">
        <v>90</v>
      </c>
      <c r="P20">
        <v>5</v>
      </c>
      <c r="Q20">
        <v>4</v>
      </c>
      <c r="R20">
        <v>5</v>
      </c>
      <c r="S20">
        <v>4</v>
      </c>
      <c r="T20">
        <v>4</v>
      </c>
      <c r="U20" t="s">
        <v>98</v>
      </c>
      <c r="V20" t="s">
        <v>50</v>
      </c>
      <c r="W20">
        <v>4</v>
      </c>
      <c r="X20" t="s">
        <v>78</v>
      </c>
      <c r="Y20" t="s">
        <v>155</v>
      </c>
      <c r="Z20" t="s">
        <v>53</v>
      </c>
      <c r="AA20" t="s">
        <v>125</v>
      </c>
    </row>
    <row r="21" spans="1:28" x14ac:dyDescent="0.25">
      <c r="A21" t="s">
        <v>156</v>
      </c>
      <c r="B21" t="s">
        <v>157</v>
      </c>
      <c r="C21" t="s">
        <v>36</v>
      </c>
      <c r="D21" t="s">
        <v>57</v>
      </c>
      <c r="E21" t="s">
        <v>38</v>
      </c>
      <c r="F21" t="s">
        <v>39</v>
      </c>
      <c r="G21" t="s">
        <v>60</v>
      </c>
      <c r="H21" t="s">
        <v>85</v>
      </c>
      <c r="I21" t="s">
        <v>42</v>
      </c>
      <c r="J21" t="s">
        <v>43</v>
      </c>
      <c r="K21" t="s">
        <v>50</v>
      </c>
      <c r="L21" t="s">
        <v>116</v>
      </c>
      <c r="M21" t="s">
        <v>88</v>
      </c>
      <c r="N21" t="s">
        <v>89</v>
      </c>
      <c r="O21" t="s">
        <v>48</v>
      </c>
      <c r="P21">
        <v>4</v>
      </c>
      <c r="Q21">
        <v>4</v>
      </c>
      <c r="R21">
        <v>4</v>
      </c>
      <c r="S21">
        <v>3</v>
      </c>
      <c r="T21">
        <v>2</v>
      </c>
      <c r="U21" t="s">
        <v>104</v>
      </c>
      <c r="V21" t="s">
        <v>92</v>
      </c>
      <c r="W21">
        <v>3</v>
      </c>
      <c r="X21" t="s">
        <v>158</v>
      </c>
      <c r="Y21" t="s">
        <v>70</v>
      </c>
      <c r="Z21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defaultRowHeight="13.8" x14ac:dyDescent="0.25"/>
  <cols>
    <col min="1" max="1" width="58" customWidth="1"/>
    <col min="2" max="5" width="14" customWidth="1"/>
    <col min="7" max="7" width="18" customWidth="1"/>
  </cols>
  <sheetData>
    <row r="1" spans="1:8" x14ac:dyDescent="0.25">
      <c r="A1" s="3" t="s">
        <v>159</v>
      </c>
      <c r="B1" s="3" t="s">
        <v>160</v>
      </c>
      <c r="C1" s="3" t="s">
        <v>161</v>
      </c>
      <c r="D1" s="3" t="s">
        <v>162</v>
      </c>
      <c r="E1" s="3" t="s">
        <v>163</v>
      </c>
      <c r="G1" s="4" t="s">
        <v>164</v>
      </c>
      <c r="H1" s="4" t="s">
        <v>165</v>
      </c>
    </row>
    <row r="2" spans="1:8" x14ac:dyDescent="0.25">
      <c r="A2" t="s">
        <v>166</v>
      </c>
      <c r="B2">
        <f>COUNTA(PhanHoi!$A$2:$A$21)</f>
        <v>20</v>
      </c>
      <c r="G2" t="s">
        <v>167</v>
      </c>
      <c r="H2" s="5">
        <f>AVERAGE(PhanHoi!$P$2:$P$21)</f>
        <v>4.3499999999999996</v>
      </c>
    </row>
    <row r="3" spans="1:8" x14ac:dyDescent="0.25">
      <c r="A3" t="s">
        <v>168</v>
      </c>
      <c r="B3" s="6">
        <f>(COUNTIF(PhanHoi!$H$2:$H$21,"Dưới 10 phút")+COUNTIF(PhanHoi!$H$2:$H$21,"10–15 phút"))/B2</f>
        <v>0.65</v>
      </c>
      <c r="C3" s="6">
        <v>0.5</v>
      </c>
      <c r="D3" t="str">
        <f>IF(B3&gt;=C3,"Đạt","Không đạt")</f>
        <v>Đạt</v>
      </c>
      <c r="E3" t="s">
        <v>169</v>
      </c>
      <c r="G3" t="s">
        <v>170</v>
      </c>
      <c r="H3" s="5">
        <f>AVERAGE(PhanHoi!$Q$2:$Q$21)</f>
        <v>4.0999999999999996</v>
      </c>
    </row>
    <row r="4" spans="1:8" x14ac:dyDescent="0.25">
      <c r="A4" t="s">
        <v>171</v>
      </c>
      <c r="B4">
        <f>B2-COUNTIF(PhanHoi!$K$2:$K$21,"Chưa bao giờ")</f>
        <v>18</v>
      </c>
      <c r="E4" t="s">
        <v>172</v>
      </c>
      <c r="G4" t="s">
        <v>173</v>
      </c>
      <c r="H4" s="5">
        <f>AVERAGE(PhanHoi!$R$2:$R$21)</f>
        <v>4.5</v>
      </c>
    </row>
    <row r="5" spans="1:8" x14ac:dyDescent="0.25">
      <c r="A5" t="s">
        <v>174</v>
      </c>
      <c r="B5" s="6">
        <f>(B4-COUNTIF(PhanHoi!$M$2:$M$21,"0"))/B4</f>
        <v>0.61111111111111116</v>
      </c>
      <c r="C5" s="6">
        <v>0.4</v>
      </c>
      <c r="D5" t="str">
        <f>IF(B5&gt;=C5,"Đạt","Không đạt")</f>
        <v>Đạt</v>
      </c>
      <c r="E5" t="s">
        <v>175</v>
      </c>
      <c r="G5" t="s">
        <v>176</v>
      </c>
      <c r="H5" s="5">
        <f>AVERAGE(PhanHoi!$S$2:$S$21)</f>
        <v>3.85</v>
      </c>
    </row>
    <row r="6" spans="1:8" x14ac:dyDescent="0.25">
      <c r="A6" t="s">
        <v>177</v>
      </c>
      <c r="B6" s="6">
        <f>(COUNTIF(PhanHoi!$L$2:$L$21,"6–10 phút")+COUNTIF(PhanHoi!$L$2:$L$21,"Trên 10 phút"))/B4</f>
        <v>0.61111111111111116</v>
      </c>
      <c r="C6" s="6">
        <v>0.5</v>
      </c>
      <c r="D6" t="str">
        <f>IF(B6&gt;=C6,"Đạt","Không đạt")</f>
        <v>Đạt</v>
      </c>
      <c r="E6" t="s">
        <v>178</v>
      </c>
      <c r="G6" t="s">
        <v>179</v>
      </c>
      <c r="H6" s="5">
        <f>AVERAGE(PhanHoi!$T$2:$T$21)</f>
        <v>2.95</v>
      </c>
    </row>
    <row r="7" spans="1:8" x14ac:dyDescent="0.25">
      <c r="A7" t="s">
        <v>180</v>
      </c>
      <c r="B7" s="5">
        <f>AVERAGE(PhanHoi!$P$2:$P$21)</f>
        <v>4.3499999999999996</v>
      </c>
      <c r="C7">
        <v>4</v>
      </c>
      <c r="D7" t="str">
        <f>IF(B7&gt;=C7,"Đạt","Không đạt")</f>
        <v>Đạt</v>
      </c>
      <c r="E7" t="s">
        <v>181</v>
      </c>
    </row>
    <row r="8" spans="1:8" x14ac:dyDescent="0.25">
      <c r="A8" t="s">
        <v>182</v>
      </c>
      <c r="B8" s="5">
        <f>AVERAGE(PhanHoi!$R$2:$R$21)</f>
        <v>4.5</v>
      </c>
      <c r="C8">
        <v>4</v>
      </c>
      <c r="D8" t="str">
        <f>IF(B8&gt;=C8,"Đạt","Không đạt")</f>
        <v>Đạt</v>
      </c>
      <c r="E8" t="s">
        <v>181</v>
      </c>
    </row>
    <row r="9" spans="1:8" x14ac:dyDescent="0.25">
      <c r="A9" t="s">
        <v>183</v>
      </c>
      <c r="B9" s="6">
        <f>COUNTIF(PhanHoi!$O$2:$O$21,"Không biết gì cả")/B2</f>
        <v>0.35</v>
      </c>
      <c r="C9" s="6"/>
      <c r="D9" t="s">
        <v>184</v>
      </c>
      <c r="E9" t="s">
        <v>185</v>
      </c>
    </row>
    <row r="10" spans="1:8" x14ac:dyDescent="0.25">
      <c r="A10" t="s">
        <v>186</v>
      </c>
      <c r="B10" s="6">
        <f>(COUNTIF(PhanHoi!$W$2:$W$21,4)+COUNTIF(PhanHoi!$W$2:$W$21,5))/B2</f>
        <v>0.55000000000000004</v>
      </c>
      <c r="C10" s="6">
        <v>0.5</v>
      </c>
      <c r="D10" t="str">
        <f>IF(B10&gt;=C10,"Đạt","Không đạt")</f>
        <v>Đạt</v>
      </c>
      <c r="E10" t="s">
        <v>187</v>
      </c>
    </row>
    <row r="11" spans="1:8" x14ac:dyDescent="0.25">
      <c r="A11" t="s">
        <v>188</v>
      </c>
      <c r="B11">
        <f>COUNTIF(PhanHoi!$X$2:$X$21,"*đăng ký*")</f>
        <v>9</v>
      </c>
      <c r="D11" t="s">
        <v>184</v>
      </c>
      <c r="E11" t="s">
        <v>189</v>
      </c>
    </row>
    <row r="12" spans="1:8" x14ac:dyDescent="0.25">
      <c r="A12" t="s">
        <v>190</v>
      </c>
      <c r="B12">
        <f>COUNTIF(PhanHoi!$X$2:$X$21,"*bộ nhớ*")</f>
        <v>6</v>
      </c>
      <c r="D12" t="s">
        <v>184</v>
      </c>
      <c r="E12" t="s">
        <v>189</v>
      </c>
    </row>
    <row r="13" spans="1:8" x14ac:dyDescent="0.25">
      <c r="A13" t="s">
        <v>191</v>
      </c>
      <c r="B13">
        <f>COUNTIF(PhanHoi!$X$2:$X$21,"*Ít khi*")</f>
        <v>5</v>
      </c>
      <c r="D13" t="s">
        <v>184</v>
      </c>
      <c r="E13" t="s">
        <v>189</v>
      </c>
    </row>
    <row r="14" spans="1:8" x14ac:dyDescent="0.25">
      <c r="A14" t="s">
        <v>192</v>
      </c>
      <c r="B14">
        <f>COUNTIF(PhanHoi!$Z$2:$Z$21,"Có")</f>
        <v>9</v>
      </c>
      <c r="E14" t="s">
        <v>193</v>
      </c>
    </row>
    <row r="15" spans="1:8" x14ac:dyDescent="0.25">
      <c r="A15" t="s">
        <v>194</v>
      </c>
      <c r="B15" s="6">
        <f>(COUNTIF(PhanHoi!$AA$2:$AA$21,"Trả tiền mặt")+COUNTIF(PhanHoi!$AA$2:$AA$21,"Đổi sang cách trả khác"))/B14</f>
        <v>0.66666666666666663</v>
      </c>
      <c r="C15" s="6">
        <v>0.5</v>
      </c>
      <c r="D15" t="str">
        <f>IF(B15&gt;=C15,"Đạt","Không đạt")</f>
        <v>Đạt</v>
      </c>
      <c r="E15" t="s">
        <v>195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DocTruoc</vt:lpstr>
      <vt:lpstr>PhanHoi</vt:lpstr>
      <vt:lpstr>PhanTich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Babluokei4</cp:lastModifiedBy>
  <dcterms:created xsi:type="dcterms:W3CDTF">2026-10-19T23:17:52Z</dcterms:created>
  <dcterms:modified xsi:type="dcterms:W3CDTF">2026-10-19T23:18:02Z</dcterms:modified>
</cp:coreProperties>
</file>