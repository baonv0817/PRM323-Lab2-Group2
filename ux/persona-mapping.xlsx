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FPTU\Sem8\PRM323\prm393-lab2\ux\"/>
    </mc:Choice>
  </mc:AlternateContent>
  <xr:revisionPtr revIDLastSave="0" documentId="13_ncr:1_{DEDC6EB5-DA22-41CC-8739-079D85AEDB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Personas" sheetId="2" r:id="rId2"/>
    <sheet name="Needs" sheetId="3" r:id="rId3"/>
    <sheet name="Principles" sheetId="4" r:id="rId4"/>
    <sheet name="Mapping" sheetId="5" r:id="rId5"/>
    <sheet name="Cover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G6" i="6"/>
  <c r="F6" i="6"/>
  <c r="E6" i="6"/>
  <c r="G5" i="6"/>
  <c r="C5" i="6"/>
  <c r="B5" i="6"/>
  <c r="H4" i="6"/>
  <c r="E4" i="6"/>
  <c r="D4" i="6"/>
  <c r="F16" i="5"/>
  <c r="D16" i="5"/>
  <c r="C16" i="5"/>
  <c r="F15" i="5"/>
  <c r="D15" i="5"/>
  <c r="C15" i="5"/>
  <c r="F14" i="5"/>
  <c r="D14" i="5"/>
  <c r="C14" i="5"/>
  <c r="F13" i="5"/>
  <c r="D13" i="5"/>
  <c r="C13" i="5"/>
  <c r="F12" i="5"/>
  <c r="D12" i="5"/>
  <c r="C12" i="5"/>
  <c r="F11" i="5"/>
  <c r="D11" i="5"/>
  <c r="C11" i="5"/>
  <c r="F10" i="5"/>
  <c r="D10" i="5"/>
  <c r="C10" i="5"/>
  <c r="F9" i="5"/>
  <c r="D9" i="5"/>
  <c r="C9" i="5"/>
  <c r="F8" i="5"/>
  <c r="D8" i="5"/>
  <c r="C8" i="5"/>
  <c r="F7" i="5"/>
  <c r="D7" i="5"/>
  <c r="C7" i="5"/>
  <c r="F6" i="5"/>
  <c r="D6" i="5"/>
  <c r="C6" i="5"/>
  <c r="F5" i="5"/>
  <c r="D5" i="5"/>
  <c r="C5" i="5"/>
  <c r="F4" i="5"/>
  <c r="D4" i="5"/>
  <c r="C4" i="5"/>
  <c r="F3" i="5"/>
  <c r="D3" i="5"/>
  <c r="C3" i="5"/>
  <c r="F2" i="5"/>
  <c r="D2" i="5"/>
  <c r="C2" i="5"/>
  <c r="D6" i="6" l="1"/>
  <c r="C6" i="6"/>
  <c r="B6" i="6"/>
  <c r="F5" i="6"/>
  <c r="E5" i="6"/>
  <c r="H5" i="6"/>
  <c r="D5" i="6"/>
  <c r="I5" i="6" s="1"/>
  <c r="G4" i="6"/>
  <c r="F4" i="6"/>
  <c r="C4" i="6"/>
  <c r="B4" i="6"/>
  <c r="I4" i="6" s="1"/>
  <c r="I6" i="6" l="1"/>
</calcChain>
</file>

<file path=xl/sharedStrings.xml><?xml version="1.0" encoding="utf-8"?>
<sst xmlns="http://schemas.openxmlformats.org/spreadsheetml/2006/main" count="313" uniqueCount="227">
  <si>
    <t>FtaCode Mobile — Ánh xạ Persona → Nhu cầu → Nguyên tắc → Quyết định UI → Màn hình → Kiểm chứng</t>
  </si>
  <si>
    <t>Sheet</t>
  </si>
  <si>
    <t>Nội dung</t>
  </si>
  <si>
    <t>Personas</t>
  </si>
  <si>
    <t>3 persona × 12 trường lõi theo Persona Guideline của môn, kèm trường bắt buộc của Lab 2</t>
  </si>
  <si>
    <t>Needs</t>
  </si>
  <si>
    <t>Nhu cầu mô tả theo kết quả (không phải tính năng), gắn persona và nhãn bằng chứng</t>
  </si>
  <si>
    <t>Principles</t>
  </si>
  <si>
    <t>8 nguyên tắc thiết kế và chuẩn làm căn cứ (Nielsen, WCAG, Material)</t>
  </si>
  <si>
    <t>Mapping</t>
  </si>
  <si>
    <t>Mỗi dòng: nhu cầu → nguyên tắc → quyết định UI → màn hình → component → cách kiểm chứng → trạng thái. Cột persona tự tra cứu bằng công thức</t>
  </si>
  <si>
    <t>Coverage</t>
  </si>
  <si>
    <t>Ma trận persona × màn hình, đếm bằng công thức COUNTIFS từ sheet Mapping</t>
  </si>
  <si>
    <t>Nhãn bằng chứng</t>
  </si>
  <si>
    <t>Observed = quan sát/nguồn thứ cấp · Reported = người thật kể (chưa có) · Inferred = suy luận · Assumed = chưa kiểm chứng, gồm mọi ý từ 5 nhân vật giả lập AI (A1–A5)</t>
  </si>
  <si>
    <t>Cách cập nhật</t>
  </si>
  <si>
    <t>Ô nền kem ở cột 'Trạng thái test' (sheet Mapping) là ô cần cập nhật sau khi test. Đổi nhãn trong sheet Needs khi có bằng chứng thật</t>
  </si>
  <si>
    <t>Nguồn</t>
  </si>
  <si>
    <t>ux/persona.md · ux/research.md · ai/ai-persona-interviews.md · ai/ai-design-log.md · design/design-decisions.md</t>
  </si>
  <si>
    <t>ID</t>
  </si>
  <si>
    <t>Tên</t>
  </si>
  <si>
    <t>Priority</t>
  </si>
  <si>
    <t>Archetype</t>
  </si>
  <si>
    <t>Identity</t>
  </si>
  <si>
    <t>Usage Context</t>
  </si>
  <si>
    <t>Goals</t>
  </si>
  <si>
    <t>Job to Be Done</t>
  </si>
  <si>
    <t>Current Behaviors</t>
  </si>
  <si>
    <t>Pain Points</t>
  </si>
  <si>
    <t>Motivations</t>
  </si>
  <si>
    <t>Constraints</t>
  </si>
  <si>
    <t>Key Scenarios</t>
  </si>
  <si>
    <t>Success Criteria</t>
  </si>
  <si>
    <t>Evidence &amp; Status</t>
  </si>
  <si>
    <t>Thiết bị (Lab 2)</t>
  </si>
  <si>
    <t>Accessibility (Lab 2)</t>
  </si>
  <si>
    <t>P01</t>
  </si>
  <si>
    <t>Nguyễn Minh Quân</t>
  </si>
  <si>
    <t>Primary</t>
  </si>
  <si>
    <t>Người chạy giữa hai slot</t>
  </si>
  <si>
    <t>20 tuổi, SV năm 2 KTPM, ở KTX</t>
  </si>
  <si>
    <t>Hành lang / đi bộ giữa hai tòa, một tay, mạng chập chờn, ngoài nắng</t>
  </si>
  <si>
    <t>Có đồ ăn trong giờ nghỉ không trễ lớp; biết món đã xong; biết đúng số tiền</t>
  </si>
  <si>
    <t>Khi chỉ có 15 phút giữa hai slot, tôi muốn đặt trước và ghé quầy lấy ngay, để ăn kịp mà không xếp hàng</t>
  </si>
  <si>
    <t>Bỏ bữa sáng, mua bù lúc nghỉ; thấy hàng dài thì bỏ; từng đặt Grab phải ra cổng; trả QR</t>
  </si>
  <si>
    <t>Hàng chờ giờ nghỉ → bỏ bữa/trễ lớp; không biết quán mở, còn món, bao lâu; nút nhỏ/ở trên cao</t>
  </si>
  <si>
    <t>Tiết kiệm thời gian; giữ chuyên cần; không nhịn đói</t>
  </si>
  <si>
    <t>15 phút nghỉ (~5 phút đi bộ); một tay; mạng yếu; không muốn đăng ký</t>
  </si>
  <si>
    <t>S1 đặt cuối slot, hẹn giờ, lấy theo mã; S2 thanh toán timeout → tiền mặt, giữ giỏ</t>
  </si>
  <si>
    <t>Đặt xong đơn &lt; 35 giây, ≤ 8 chạm (Flow 1)</t>
  </si>
  <si>
    <t>Assumed — A1, A5 (phỏng vấn mô phỏng AI)</t>
  </si>
  <si>
    <t>Android tầm trung, 360–412 dp</t>
  </si>
  <si>
    <t>Tương phản cao ngoài nắng; vùng chạm ≥ 48 dp; không chỉ dùng màu</t>
  </si>
  <si>
    <t>P02</t>
  </si>
  <si>
    <t>Trần Mỹ Linh</t>
  </si>
  <si>
    <t>Secondary</t>
  </si>
  <si>
    <t>Người đếm từng nghìn</t>
  </si>
  <si>
    <t>19 tuổi, SV năm 1 Thiết kế, ở trọ</t>
  </si>
  <si>
    <t>Ngồi hành lang giữa hai slot sáng, hai tay, ví MoMo</t>
  </si>
  <si>
    <t>Ăn trong ngân sách ~40.000đ/ngày; thấy tổng tiền thật trước khi đặt</t>
  </si>
  <si>
    <t>Khi đói giữa buổi sáng, tôi muốn biết món nào vừa túi tiền, để không bất ngờ ở bước thanh toán</t>
  </si>
  <si>
    <t>Ít dùng app giao vì phí; ngại chen lấn nên đôi khi bỏ ăn</t>
  </si>
  <si>
    <t>Phí ship + phí dịch vụ cao hơn cả món; tổng tiền chỉ hiện ở bước cuối</t>
  </si>
  <si>
    <t>Tiết kiệm; thích combo, giảm giá sinh viên</t>
  </si>
  <si>
    <t>Ngân sách thấp; chữ nhỏ phải phóng to</t>
  </si>
  <si>
    <t>Lọc combo &lt; 40.000đ, nhập mã SV, thấy giá giảm trên nút rồi đặt</t>
  </si>
  <si>
    <t>Thấy tổng tiền cuối cùng trước bước chọn phương thức thanh toán</t>
  </si>
  <si>
    <t>Assumed — A2</t>
  </si>
  <si>
    <t>iPhone cũ</t>
  </si>
  <si>
    <t>Chữ nội dung ≥ 14 sp</t>
  </si>
  <si>
    <t>P03</t>
  </si>
  <si>
    <t>Cô Hạnh</t>
  </si>
  <si>
    <t>Supporting</t>
  </si>
  <si>
    <t>Người giữ nhịp quầy</t>
  </si>
  <si>
    <t>~40 tuổi, nhân viên quầy Kiosk FtaCode</t>
  </si>
  <si>
    <t>Đứng quầy giờ nghỉ chung, vừa nấu vừa trả món</t>
  </si>
  <si>
    <t>Biết trước số đơn và giờ nhận; trả đúng món cho đúng người</t>
  </si>
  <si>
    <t>Khi nhiều SV tới cùng lúc, tôi muốn biết đơn nào đã trả và tới giờ lấy, để trả nhanh không nhầm</t>
  </si>
  <si>
    <t>Gọi số; kiểm tra chuyển khoản bằng tay</t>
  </si>
  <si>
    <t>Khách đứng chờ kiểm tra chuyển khoản; khách huỷ khi món đã nấu</t>
  </si>
  <si>
    <t>Bán nhiều trong giờ nghỉ; ít sai sót</t>
  </si>
  <si>
    <t>Ít thời gian nhìn điện thoại; tay bận</t>
  </si>
  <si>
    <t>Khách đưa mã lớn + QR, cô đối chiếu và trả món</t>
  </si>
  <si>
    <t>Trả món cho khách đặt trước trong ~30 giây</t>
  </si>
  <si>
    <t>Assumed — chưa có nguồn từ nhân viên thật</t>
  </si>
  <si>
    <t>Màn hình quầy (ngoài phạm vi)</t>
  </si>
  <si>
    <t>—</t>
  </si>
  <si>
    <t>Need ID</t>
  </si>
  <si>
    <t>Persona</t>
  </si>
  <si>
    <t>Nhu cầu (theo kết quả)</t>
  </si>
  <si>
    <t>N1</t>
  </si>
  <si>
    <t>Có đồ ăn trong giờ nghỉ mà không phải xếp hàng</t>
  </si>
  <si>
    <t>Assumed</t>
  </si>
  <si>
    <t>N2</t>
  </si>
  <si>
    <t>Biết quán mở/đóng và bao lâu có món trước khi quyết định</t>
  </si>
  <si>
    <t>N3</t>
  </si>
  <si>
    <t>Thao tác được bằng một tay khi đang đi bộ</t>
  </si>
  <si>
    <t>N4</t>
  </si>
  <si>
    <t>Không mất đơn khi thanh toán lỗi vì mạng yếu</t>
  </si>
  <si>
    <t>N5</t>
  </si>
  <si>
    <t>Đọc được màn hình ngoài nắng</t>
  </si>
  <si>
    <t>N6</t>
  </si>
  <si>
    <t>Bắt đầu đặt món mà không phải tạo tài khoản</t>
  </si>
  <si>
    <t>N7</t>
  </si>
  <si>
    <t>Biết chính xác tổng tiền trước khi trả</t>
  </si>
  <si>
    <t>N8</t>
  </si>
  <si>
    <t>Biết vì sao mã giảm giá không dùng được</t>
  </si>
  <si>
    <t>N9</t>
  </si>
  <si>
    <t>Đối chiếu và trả đúng đơn trong vài giây</t>
  </si>
  <si>
    <t>N10</t>
  </si>
  <si>
    <t>Không bị huỷ đơn khi món đã nấu</t>
  </si>
  <si>
    <t>Inferred</t>
  </si>
  <si>
    <t>DP ID</t>
  </si>
  <si>
    <t>Nguyên tắc</t>
  </si>
  <si>
    <t>Căn cứ</t>
  </si>
  <si>
    <t>DP1</t>
  </si>
  <si>
    <t>Nhanh trước tiên</t>
  </si>
  <si>
    <t>Mỗi bước phải rút ngắn đường tới đơn đã đặt; một hành động chính mỗi màn, ghim ở đáy.</t>
  </si>
  <si>
    <t>Nielsen #7 Flexibility &amp; efficiency; Fitts's law</t>
  </si>
  <si>
    <t>DP2</t>
  </si>
  <si>
    <t>Thấy trước khi quyết định</t>
  </si>
  <si>
    <t>Trạng thái quán, thời gian chờ và tiến trình đơn luôn hiển thị trước khi người dùng phải chọn.</t>
  </si>
  <si>
    <t>Nielsen #1 Visibility of system status</t>
  </si>
  <si>
    <t>DP3</t>
  </si>
  <si>
    <t>Một tay, vùng ngón cái</t>
  </si>
  <si>
    <t>Điều hướng và nút chính nằm ở nửa dưới; mọi vùng chạm ≥ 48 × 48 dp.</t>
  </si>
  <si>
    <t>Material 3 accessibility; WCAG 2.5.5 Target size</t>
  </si>
  <si>
    <t>DP4</t>
  </si>
  <si>
    <t>Giá minh bạch</t>
  </si>
  <si>
    <t>Giá cộng dồn hiển thị ngay khi chọn; tổng tiền thật xuất hiện trước bước thanh toán; lỗi giá/mã có lý do.</t>
  </si>
  <si>
    <t>Nielsen #6 Recognition; #9 Error recovery</t>
  </si>
  <si>
    <t>DP5</t>
  </si>
  <si>
    <t>Không mất công sức khi lỗi</t>
  </si>
  <si>
    <t>Lỗi không bao giờ xoá giỏ hàng; luôn có ít nhất hai lối thoát (thử lại / cách khác).</t>
  </si>
  <si>
    <t>Nielsen #5 Error prevention; #9; #3 User control</t>
  </si>
  <si>
    <t>DP6</t>
  </si>
  <si>
    <t>Đọc được mọi lúc</t>
  </si>
  <si>
    <t>Chữ thường ≥ 4,5:1, thành phần điều khiển ≥ 3:1, chữ nội dung ≥ 14 sp; trạng thái có icon + chữ.</t>
  </si>
  <si>
    <t>WCAG 1.4.3, 1.4.11, 1.4.1</t>
  </si>
  <si>
    <t>DP7</t>
  </si>
  <si>
    <t>Không bắt đăng ký trước</t>
  </si>
  <si>
    <t>Xem menu và đặt món không cần tạo tài khoản; không thêm bước không phục vụ việc đặt.</t>
  </si>
  <si>
    <t>Nielsen #8 Minimalist design; insight A1, A3</t>
  </si>
  <si>
    <t>DP8</t>
  </si>
  <si>
    <t>Dễ cho quầy</t>
  </si>
  <si>
    <t>Thông tin nhận đồ phải đối chiếu được trong vài giây; thao tác của khách không làm hỏng việc của bếp.</t>
  </si>
  <si>
    <t>Supporting persona P03; ràng buộc nghiệp vụ</t>
  </si>
  <si>
    <t>#</t>
  </si>
  <si>
    <t>Persona (tra cứu)</t>
  </si>
  <si>
    <t>Nhu cầu (tra cứu)</t>
  </si>
  <si>
    <t>Nguyên tắc (tra cứu)</t>
  </si>
  <si>
    <t>Quyết định UI</t>
  </si>
  <si>
    <t>Màn hình</t>
  </si>
  <si>
    <t>Component</t>
  </si>
  <si>
    <t>Nguồn quyết định</t>
  </si>
  <si>
    <t>Cách kiểm chứng</t>
  </si>
  <si>
    <t>Trạng thái test</t>
  </si>
  <si>
    <t>Đặt trước + hẹn giờ nhận tại quầy; CTA "Tiến hành thanh toán" ghim đáy</t>
  </si>
  <si>
    <t>SCR-05</t>
  </si>
  <si>
    <t>Button/Primary</t>
  </si>
  <si>
    <t>design-decisions #05</t>
  </si>
  <si>
    <t>Usability test Flow 1: &lt; 35 giây, ≤ 8 chạm (3–5 người)</t>
  </si>
  <si>
    <t>Chưa test</t>
  </si>
  <si>
    <t>Đặt lại đơn cũ 1 chạm</t>
  </si>
  <si>
    <t>SCR-08</t>
  </si>
  <si>
    <t>Card + Button</t>
  </si>
  <si>
    <t>design-decisions #06</t>
  </si>
  <si>
    <t>Đếm số chạm từ SCR-08 tới SCR-07</t>
  </si>
  <si>
    <t>Badge trạng thái Kiosk + thời gian ước tính trên Home</t>
  </si>
  <si>
    <t>SCR-02</t>
  </si>
  <si>
    <t>Chip/Status</t>
  </si>
  <si>
    <t>ai-log #01</t>
  </si>
  <si>
    <t>Hỏi 6 SV: có quyết định dựa trên badge không (H3)</t>
  </si>
  <si>
    <t>Tiến trình 4 bước + mã nhận đồ</t>
  </si>
  <si>
    <t>SCR-07</t>
  </si>
  <si>
    <t>Stepper + Card</t>
  </si>
  <si>
    <t>design-decisions #02</t>
  </si>
  <si>
    <t>Usability test: người dùng nói được trạng thái đơn</t>
  </si>
  <si>
    <t>Bottom navigation 4 tab</t>
  </si>
  <si>
    <t>Toàn app</t>
  </si>
  <si>
    <t>Navigation</t>
  </si>
  <si>
    <t>design-decisions #01</t>
  </si>
  <si>
    <t>Kiểm Figma: mọi đích ở nửa dưới màn 360 × 800</t>
  </si>
  <si>
    <t>Vùng chạm 48 dp cho nút +/- và checkbox topping</t>
  </si>
  <si>
    <t>SCR-04</t>
  </si>
  <si>
    <t>Stepper, Checkbox</t>
  </si>
  <si>
    <t>ai-log #13</t>
  </si>
  <si>
    <t>Đo vùng chạm trong Figma</t>
  </si>
  <si>
    <t>Màn phục hồi lỗi: giữ giỏ, Thử lại / Tiền mặt tại quầy</t>
  </si>
  <si>
    <t>SCR-06-ERR</t>
  </si>
  <si>
    <t>Error state + Button</t>
  </si>
  <si>
    <t>design-decisions #04</t>
  </si>
  <si>
    <t>Chạy Flow 3 trên prototype, không có ngõ cụt</t>
  </si>
  <si>
    <t>Chữ nút nâu #622B14 trên cam #F69D39 (5,23:1)</t>
  </si>
  <si>
    <t>Button</t>
  </si>
  <si>
    <t>ai-log #06</t>
  </si>
  <si>
    <t>Đo tương phản bằng công thức WCAG</t>
  </si>
  <si>
    <t>Đạt (tính toán)</t>
  </si>
  <si>
    <t>Trạng thái luôn có icon + chữ</t>
  </si>
  <si>
    <t>SCR-05, SCR-07</t>
  </si>
  <si>
    <t>Chip, Text field error</t>
  </si>
  <si>
    <t>design-decisions #07</t>
  </si>
  <si>
    <t>Xem ảnh grayscale của màn hình</t>
  </si>
  <si>
    <t>Không thêm đăng nhập tích điểm</t>
  </si>
  <si>
    <t>ai-log #12 (Reject)</t>
  </si>
  <si>
    <t>Hỏi 6 SV: có bỏ app nếu bắt đăng ký (H4)</t>
  </si>
  <si>
    <t>Giá topping cộng dồn hiển thị trên nút CTA</t>
  </si>
  <si>
    <t>ai-log #02</t>
  </si>
  <si>
    <t>Usability test: người dùng nói đúng tổng tiền trước khi trả</t>
  </si>
  <si>
    <t>Bảng tổng tiền đầy đủ ở giỏ hàng, không phí phát sinh sau</t>
  </si>
  <si>
    <t>Card/Summary</t>
  </si>
  <si>
    <t>ai-log #10</t>
  </si>
  <si>
    <t>So tổng ở SCR-05 với SCR-06</t>
  </si>
  <si>
    <t>Lỗi voucher có icon + lý do cụ thể</t>
  </si>
  <si>
    <t>Text field/Error</t>
  </si>
  <si>
    <t>ai-log #03</t>
  </si>
  <si>
    <t>Nhập mã sai trên prototype</t>
  </si>
  <si>
    <t>Mã nhận đồ số lớn + QR</t>
  </si>
  <si>
    <t>Card</t>
  </si>
  <si>
    <t>Hỏi 1 nhân viên quầy (H6)</t>
  </si>
  <si>
    <t>Chỉ cho huỷ trong 60 giây đầu, có dialog xác nhận</t>
  </si>
  <si>
    <t>Dialog/Destructive</t>
  </si>
  <si>
    <t>ai-log #04</t>
  </si>
  <si>
    <t>Hỏi nhân viên quầy về thời điểm bắt đầu nấu</t>
  </si>
  <si>
    <t>Số quyết định UI phục vụ từng persona, theo màn hình (đếm từ sheet Mapping)</t>
  </si>
  <si>
    <t>Tổng</t>
  </si>
  <si>
    <t>Ghi chú: một quyết định ghi nhiều màn (ví dụ "SCR-05, SCR-07") được đếm ở cả hai cột. P03 thấp là bình thường vì app phía quầy nằm ngoài phạm vi Lab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</si>
</sst>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3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color rgb="FF008000"/>
      <name val="Arial"/>
    </font>
    <font>
      <b/>
      <sz val="12"/>
      <name val="Arial"/>
    </font>
    <font>
      <b/>
      <sz val="11"/>
      <name val="Arial"/>
    </font>
    <font>
      <sz val="11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622B14"/>
      </patternFill>
    </fill>
    <fill>
      <patternFill patternType="solid">
        <fgColor rgb="FFFFF5E5"/>
      </patternFill>
    </fill>
  </fills>
  <borders count="2">
    <border>
      <left/>
      <right/>
      <top/>
      <bottom/>
      <diagonal/>
    </border>
    <border>
      <left style="thin">
        <color rgb="FFD9C7B3"/>
      </left>
      <right style="thin">
        <color rgb="FFD9C7B3"/>
      </right>
      <top style="thin">
        <color rgb="FFD9C7B3"/>
      </top>
      <bottom style="thin">
        <color rgb="FFD9C7B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3.8" x14ac:dyDescent="0.25"/>
  <cols>
    <col min="1" max="1" width="18" customWidth="1"/>
    <col min="2" max="2" width="110" customWidth="1"/>
  </cols>
  <sheetData>
    <row r="1" spans="1:2" ht="134.4" customHeight="1" x14ac:dyDescent="0.25">
      <c r="A1" s="1" t="s">
        <v>0</v>
      </c>
    </row>
    <row r="2" spans="1:2" x14ac:dyDescent="0.25">
      <c r="A2" s="2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ht="26.4" customHeight="1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/>
    </row>
    <row r="10" spans="1:2" ht="26.4" customHeight="1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6" customWidth="1"/>
    <col min="2" max="2" width="18" customWidth="1"/>
    <col min="3" max="3" width="11" customWidth="1"/>
    <col min="4" max="4" width="20" customWidth="1"/>
    <col min="5" max="5" width="24" customWidth="1"/>
    <col min="6" max="17" width="32" customWidth="1"/>
  </cols>
  <sheetData>
    <row r="1" spans="1:17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</row>
    <row r="2" spans="1:17" ht="39.6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</row>
    <row r="3" spans="1:17" ht="39.6" customHeight="1" x14ac:dyDescent="0.25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63</v>
      </c>
      <c r="L3" s="5" t="s">
        <v>64</v>
      </c>
      <c r="M3" s="5" t="s">
        <v>65</v>
      </c>
      <c r="N3" s="5" t="s">
        <v>66</v>
      </c>
      <c r="O3" s="5" t="s">
        <v>67</v>
      </c>
      <c r="P3" s="5" t="s">
        <v>68</v>
      </c>
      <c r="Q3" s="5" t="s">
        <v>69</v>
      </c>
    </row>
    <row r="4" spans="1:17" ht="39.6" customHeight="1" x14ac:dyDescent="0.25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80</v>
      </c>
      <c r="L4" s="5" t="s">
        <v>81</v>
      </c>
      <c r="M4" s="5" t="s">
        <v>82</v>
      </c>
      <c r="N4" s="5" t="s">
        <v>83</v>
      </c>
      <c r="O4" s="5" t="s">
        <v>84</v>
      </c>
      <c r="P4" s="5" t="s">
        <v>85</v>
      </c>
      <c r="Q4" s="5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2" width="9" customWidth="1"/>
    <col min="3" max="3" width="60" customWidth="1"/>
    <col min="4" max="4" width="16" customWidth="1"/>
  </cols>
  <sheetData>
    <row r="1" spans="1:4" ht="27.6" customHeight="1" x14ac:dyDescent="0.25">
      <c r="A1" s="4" t="s">
        <v>87</v>
      </c>
      <c r="B1" s="4" t="s">
        <v>88</v>
      </c>
      <c r="C1" s="4" t="s">
        <v>89</v>
      </c>
      <c r="D1" s="4" t="s">
        <v>13</v>
      </c>
    </row>
    <row r="2" spans="1:4" x14ac:dyDescent="0.25">
      <c r="A2" s="5" t="s">
        <v>90</v>
      </c>
      <c r="B2" s="5" t="s">
        <v>36</v>
      </c>
      <c r="C2" s="5" t="s">
        <v>91</v>
      </c>
      <c r="D2" s="5" t="s">
        <v>92</v>
      </c>
    </row>
    <row r="3" spans="1:4" x14ac:dyDescent="0.25">
      <c r="A3" s="5" t="s">
        <v>93</v>
      </c>
      <c r="B3" s="5" t="s">
        <v>36</v>
      </c>
      <c r="C3" s="5" t="s">
        <v>94</v>
      </c>
      <c r="D3" s="5" t="s">
        <v>92</v>
      </c>
    </row>
    <row r="4" spans="1:4" x14ac:dyDescent="0.25">
      <c r="A4" s="5" t="s">
        <v>95</v>
      </c>
      <c r="B4" s="5" t="s">
        <v>36</v>
      </c>
      <c r="C4" s="5" t="s">
        <v>96</v>
      </c>
      <c r="D4" s="5" t="s">
        <v>92</v>
      </c>
    </row>
    <row r="5" spans="1:4" x14ac:dyDescent="0.25">
      <c r="A5" s="5" t="s">
        <v>97</v>
      </c>
      <c r="B5" s="5" t="s">
        <v>36</v>
      </c>
      <c r="C5" s="5" t="s">
        <v>98</v>
      </c>
      <c r="D5" s="5" t="s">
        <v>92</v>
      </c>
    </row>
    <row r="6" spans="1:4" x14ac:dyDescent="0.25">
      <c r="A6" s="5" t="s">
        <v>99</v>
      </c>
      <c r="B6" s="5" t="s">
        <v>36</v>
      </c>
      <c r="C6" s="5" t="s">
        <v>100</v>
      </c>
      <c r="D6" s="5" t="s">
        <v>92</v>
      </c>
    </row>
    <row r="7" spans="1:4" x14ac:dyDescent="0.25">
      <c r="A7" s="5" t="s">
        <v>101</v>
      </c>
      <c r="B7" s="5" t="s">
        <v>36</v>
      </c>
      <c r="C7" s="5" t="s">
        <v>102</v>
      </c>
      <c r="D7" s="5" t="s">
        <v>92</v>
      </c>
    </row>
    <row r="8" spans="1:4" x14ac:dyDescent="0.25">
      <c r="A8" s="5" t="s">
        <v>103</v>
      </c>
      <c r="B8" s="5" t="s">
        <v>53</v>
      </c>
      <c r="C8" s="5" t="s">
        <v>104</v>
      </c>
      <c r="D8" s="5" t="s">
        <v>92</v>
      </c>
    </row>
    <row r="9" spans="1:4" x14ac:dyDescent="0.25">
      <c r="A9" s="5" t="s">
        <v>105</v>
      </c>
      <c r="B9" s="5" t="s">
        <v>53</v>
      </c>
      <c r="C9" s="5" t="s">
        <v>106</v>
      </c>
      <c r="D9" s="5" t="s">
        <v>92</v>
      </c>
    </row>
    <row r="10" spans="1:4" x14ac:dyDescent="0.25">
      <c r="A10" s="5" t="s">
        <v>107</v>
      </c>
      <c r="B10" s="5" t="s">
        <v>70</v>
      </c>
      <c r="C10" s="5" t="s">
        <v>108</v>
      </c>
      <c r="D10" s="5" t="s">
        <v>92</v>
      </c>
    </row>
    <row r="11" spans="1:4" x14ac:dyDescent="0.25">
      <c r="A11" s="5" t="s">
        <v>109</v>
      </c>
      <c r="B11" s="5" t="s">
        <v>70</v>
      </c>
      <c r="C11" s="5" t="s">
        <v>110</v>
      </c>
      <c r="D11" s="5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7" customWidth="1"/>
    <col min="2" max="2" width="24" customWidth="1"/>
    <col min="3" max="3" width="70" customWidth="1"/>
    <col min="4" max="4" width="40" customWidth="1"/>
  </cols>
  <sheetData>
    <row r="1" spans="1:4" x14ac:dyDescent="0.25">
      <c r="A1" s="4" t="s">
        <v>112</v>
      </c>
      <c r="B1" s="4" t="s">
        <v>113</v>
      </c>
      <c r="C1" s="4" t="s">
        <v>2</v>
      </c>
      <c r="D1" s="4" t="s">
        <v>114</v>
      </c>
    </row>
    <row r="2" spans="1:4" x14ac:dyDescent="0.25">
      <c r="A2" s="5" t="s">
        <v>115</v>
      </c>
      <c r="B2" s="5" t="s">
        <v>116</v>
      </c>
      <c r="C2" s="5" t="s">
        <v>117</v>
      </c>
      <c r="D2" s="5" t="s">
        <v>118</v>
      </c>
    </row>
    <row r="3" spans="1:4" ht="26.4" customHeight="1" x14ac:dyDescent="0.25">
      <c r="A3" s="5" t="s">
        <v>119</v>
      </c>
      <c r="B3" s="5" t="s">
        <v>120</v>
      </c>
      <c r="C3" s="5" t="s">
        <v>121</v>
      </c>
      <c r="D3" s="5" t="s">
        <v>122</v>
      </c>
    </row>
    <row r="4" spans="1:4" x14ac:dyDescent="0.25">
      <c r="A4" s="5" t="s">
        <v>123</v>
      </c>
      <c r="B4" s="5" t="s">
        <v>124</v>
      </c>
      <c r="C4" s="5" t="s">
        <v>125</v>
      </c>
      <c r="D4" s="5" t="s">
        <v>126</v>
      </c>
    </row>
    <row r="5" spans="1:4" ht="26.4" customHeight="1" x14ac:dyDescent="0.25">
      <c r="A5" s="5" t="s">
        <v>127</v>
      </c>
      <c r="B5" s="5" t="s">
        <v>128</v>
      </c>
      <c r="C5" s="5" t="s">
        <v>129</v>
      </c>
      <c r="D5" s="5" t="s">
        <v>130</v>
      </c>
    </row>
    <row r="6" spans="1:4" x14ac:dyDescent="0.25">
      <c r="A6" s="5" t="s">
        <v>131</v>
      </c>
      <c r="B6" s="5" t="s">
        <v>132</v>
      </c>
      <c r="C6" s="5" t="s">
        <v>133</v>
      </c>
      <c r="D6" s="5" t="s">
        <v>134</v>
      </c>
    </row>
    <row r="7" spans="1:4" ht="26.4" customHeight="1" x14ac:dyDescent="0.25">
      <c r="A7" s="5" t="s">
        <v>135</v>
      </c>
      <c r="B7" s="5" t="s">
        <v>136</v>
      </c>
      <c r="C7" s="5" t="s">
        <v>137</v>
      </c>
      <c r="D7" s="5" t="s">
        <v>138</v>
      </c>
    </row>
    <row r="8" spans="1:4" x14ac:dyDescent="0.25">
      <c r="A8" s="5" t="s">
        <v>139</v>
      </c>
      <c r="B8" s="5" t="s">
        <v>140</v>
      </c>
      <c r="C8" s="5" t="s">
        <v>141</v>
      </c>
      <c r="D8" s="5" t="s">
        <v>142</v>
      </c>
    </row>
    <row r="9" spans="1:4" ht="26.4" customHeight="1" x14ac:dyDescent="0.25">
      <c r="A9" s="5" t="s">
        <v>143</v>
      </c>
      <c r="B9" s="5" t="s">
        <v>144</v>
      </c>
      <c r="C9" s="5" t="s">
        <v>145</v>
      </c>
      <c r="D9" s="5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4" customWidth="1"/>
    <col min="2" max="2" width="8" customWidth="1"/>
    <col min="3" max="3" width="10" customWidth="1"/>
    <col min="4" max="4" width="34" customWidth="1"/>
    <col min="5" max="5" width="7" customWidth="1"/>
    <col min="6" max="6" width="22" customWidth="1"/>
    <col min="7" max="7" width="44" customWidth="1"/>
    <col min="8" max="8" width="14" customWidth="1"/>
    <col min="9" max="10" width="20" customWidth="1"/>
    <col min="11" max="11" width="40" customWidth="1"/>
    <col min="12" max="12" width="15" customWidth="1"/>
  </cols>
  <sheetData>
    <row r="1" spans="1:12" ht="27.6" customHeight="1" x14ac:dyDescent="0.25">
      <c r="A1" s="4" t="s">
        <v>147</v>
      </c>
      <c r="B1" s="4" t="s">
        <v>87</v>
      </c>
      <c r="C1" s="4" t="s">
        <v>148</v>
      </c>
      <c r="D1" s="4" t="s">
        <v>149</v>
      </c>
      <c r="E1" s="4" t="s">
        <v>112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</row>
    <row r="2" spans="1:12" ht="26.4" customHeight="1" x14ac:dyDescent="0.25">
      <c r="A2" s="5">
        <v>1</v>
      </c>
      <c r="B2" s="5" t="s">
        <v>90</v>
      </c>
      <c r="C2" s="6" t="str">
        <f>INDEX(Needs!$B$2:$B$11,MATCH(B2,Needs!$A$2:$A$11,0))</f>
        <v>P01</v>
      </c>
      <c r="D2" s="6" t="str">
        <f>INDEX(Needs!$C$2:$C$11,MATCH(B2,Needs!$A$2:$A$11,0))</f>
        <v>Có đồ ăn trong giờ nghỉ mà không phải xếp hàng</v>
      </c>
      <c r="E2" s="5" t="s">
        <v>115</v>
      </c>
      <c r="F2" s="6" t="str">
        <f>INDEX(Principles!$B$2:$B$9,MATCH(E2,Principles!$A$2:$A$9,0))</f>
        <v>Nhanh trước tiên</v>
      </c>
      <c r="G2" s="5" t="s">
        <v>157</v>
      </c>
      <c r="H2" s="5" t="s">
        <v>158</v>
      </c>
      <c r="I2" s="5" t="s">
        <v>159</v>
      </c>
      <c r="J2" s="5" t="s">
        <v>160</v>
      </c>
      <c r="K2" s="5" t="s">
        <v>161</v>
      </c>
      <c r="L2" s="7" t="s">
        <v>162</v>
      </c>
    </row>
    <row r="3" spans="1:12" x14ac:dyDescent="0.25">
      <c r="A3" s="5">
        <v>2</v>
      </c>
      <c r="B3" s="5" t="s">
        <v>90</v>
      </c>
      <c r="C3" s="6" t="str">
        <f>INDEX(Needs!$B$2:$B$11,MATCH(B3,Needs!$A$2:$A$11,0))</f>
        <v>P01</v>
      </c>
      <c r="D3" s="6" t="str">
        <f>INDEX(Needs!$C$2:$C$11,MATCH(B3,Needs!$A$2:$A$11,0))</f>
        <v>Có đồ ăn trong giờ nghỉ mà không phải xếp hàng</v>
      </c>
      <c r="E3" s="5" t="s">
        <v>115</v>
      </c>
      <c r="F3" s="6" t="str">
        <f>INDEX(Principles!$B$2:$B$9,MATCH(E3,Principles!$A$2:$A$9,0))</f>
        <v>Nhanh trước tiên</v>
      </c>
      <c r="G3" s="5" t="s">
        <v>163</v>
      </c>
      <c r="H3" s="5" t="s">
        <v>164</v>
      </c>
      <c r="I3" s="5" t="s">
        <v>165</v>
      </c>
      <c r="J3" s="5" t="s">
        <v>166</v>
      </c>
      <c r="K3" s="5" t="s">
        <v>167</v>
      </c>
      <c r="L3" s="7" t="s">
        <v>162</v>
      </c>
    </row>
    <row r="4" spans="1:12" x14ac:dyDescent="0.25">
      <c r="A4" s="5">
        <v>3</v>
      </c>
      <c r="B4" s="5" t="s">
        <v>93</v>
      </c>
      <c r="C4" s="6" t="str">
        <f>INDEX(Needs!$B$2:$B$11,MATCH(B4,Needs!$A$2:$A$11,0))</f>
        <v>P01</v>
      </c>
      <c r="D4" s="6" t="str">
        <f>INDEX(Needs!$C$2:$C$11,MATCH(B4,Needs!$A$2:$A$11,0))</f>
        <v>Biết quán mở/đóng và bao lâu có món trước khi quyết định</v>
      </c>
      <c r="E4" s="5" t="s">
        <v>119</v>
      </c>
      <c r="F4" s="6" t="str">
        <f>INDEX(Principles!$B$2:$B$9,MATCH(E4,Principles!$A$2:$A$9,0))</f>
        <v>Thấy trước khi quyết định</v>
      </c>
      <c r="G4" s="5" t="s">
        <v>168</v>
      </c>
      <c r="H4" s="5" t="s">
        <v>169</v>
      </c>
      <c r="I4" s="5" t="s">
        <v>170</v>
      </c>
      <c r="J4" s="5" t="s">
        <v>171</v>
      </c>
      <c r="K4" s="5" t="s">
        <v>172</v>
      </c>
      <c r="L4" s="7" t="s">
        <v>162</v>
      </c>
    </row>
    <row r="5" spans="1:12" x14ac:dyDescent="0.25">
      <c r="A5" s="5">
        <v>4</v>
      </c>
      <c r="B5" s="5" t="s">
        <v>93</v>
      </c>
      <c r="C5" s="6" t="str">
        <f>INDEX(Needs!$B$2:$B$11,MATCH(B5,Needs!$A$2:$A$11,0))</f>
        <v>P01</v>
      </c>
      <c r="D5" s="6" t="str">
        <f>INDEX(Needs!$C$2:$C$11,MATCH(B5,Needs!$A$2:$A$11,0))</f>
        <v>Biết quán mở/đóng và bao lâu có món trước khi quyết định</v>
      </c>
      <c r="E5" s="5" t="s">
        <v>119</v>
      </c>
      <c r="F5" s="6" t="str">
        <f>INDEX(Principles!$B$2:$B$9,MATCH(E5,Principles!$A$2:$A$9,0))</f>
        <v>Thấy trước khi quyết định</v>
      </c>
      <c r="G5" s="5" t="s">
        <v>173</v>
      </c>
      <c r="H5" s="5" t="s">
        <v>174</v>
      </c>
      <c r="I5" s="5" t="s">
        <v>175</v>
      </c>
      <c r="J5" s="5" t="s">
        <v>176</v>
      </c>
      <c r="K5" s="5" t="s">
        <v>177</v>
      </c>
      <c r="L5" s="7" t="s">
        <v>162</v>
      </c>
    </row>
    <row r="6" spans="1:12" x14ac:dyDescent="0.25">
      <c r="A6" s="5">
        <v>5</v>
      </c>
      <c r="B6" s="5" t="s">
        <v>95</v>
      </c>
      <c r="C6" s="6" t="str">
        <f>INDEX(Needs!$B$2:$B$11,MATCH(B6,Needs!$A$2:$A$11,0))</f>
        <v>P01</v>
      </c>
      <c r="D6" s="6" t="str">
        <f>INDEX(Needs!$C$2:$C$11,MATCH(B6,Needs!$A$2:$A$11,0))</f>
        <v>Thao tác được bằng một tay khi đang đi bộ</v>
      </c>
      <c r="E6" s="5" t="s">
        <v>123</v>
      </c>
      <c r="F6" s="6" t="str">
        <f>INDEX(Principles!$B$2:$B$9,MATCH(E6,Principles!$A$2:$A$9,0))</f>
        <v>Một tay, vùng ngón cái</v>
      </c>
      <c r="G6" s="5" t="s">
        <v>178</v>
      </c>
      <c r="H6" s="5" t="s">
        <v>179</v>
      </c>
      <c r="I6" s="5" t="s">
        <v>180</v>
      </c>
      <c r="J6" s="5" t="s">
        <v>181</v>
      </c>
      <c r="K6" s="5" t="s">
        <v>182</v>
      </c>
      <c r="L6" s="7" t="s">
        <v>162</v>
      </c>
    </row>
    <row r="7" spans="1:12" x14ac:dyDescent="0.25">
      <c r="A7" s="5">
        <v>6</v>
      </c>
      <c r="B7" s="5" t="s">
        <v>95</v>
      </c>
      <c r="C7" s="6" t="str">
        <f>INDEX(Needs!$B$2:$B$11,MATCH(B7,Needs!$A$2:$A$11,0))</f>
        <v>P01</v>
      </c>
      <c r="D7" s="6" t="str">
        <f>INDEX(Needs!$C$2:$C$11,MATCH(B7,Needs!$A$2:$A$11,0))</f>
        <v>Thao tác được bằng một tay khi đang đi bộ</v>
      </c>
      <c r="E7" s="5" t="s">
        <v>123</v>
      </c>
      <c r="F7" s="6" t="str">
        <f>INDEX(Principles!$B$2:$B$9,MATCH(E7,Principles!$A$2:$A$9,0))</f>
        <v>Một tay, vùng ngón cái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187</v>
      </c>
      <c r="L7" s="7" t="s">
        <v>162</v>
      </c>
    </row>
    <row r="8" spans="1:12" x14ac:dyDescent="0.25">
      <c r="A8" s="5">
        <v>7</v>
      </c>
      <c r="B8" s="5" t="s">
        <v>97</v>
      </c>
      <c r="C8" s="6" t="str">
        <f>INDEX(Needs!$B$2:$B$11,MATCH(B8,Needs!$A$2:$A$11,0))</f>
        <v>P01</v>
      </c>
      <c r="D8" s="6" t="str">
        <f>INDEX(Needs!$C$2:$C$11,MATCH(B8,Needs!$A$2:$A$11,0))</f>
        <v>Không mất đơn khi thanh toán lỗi vì mạng yếu</v>
      </c>
      <c r="E8" s="5" t="s">
        <v>131</v>
      </c>
      <c r="F8" s="6" t="str">
        <f>INDEX(Principles!$B$2:$B$9,MATCH(E8,Principles!$A$2:$A$9,0))</f>
        <v>Không mất công sức khi lỗi</v>
      </c>
      <c r="G8" s="5" t="s">
        <v>188</v>
      </c>
      <c r="H8" s="5" t="s">
        <v>189</v>
      </c>
      <c r="I8" s="5" t="s">
        <v>190</v>
      </c>
      <c r="J8" s="5" t="s">
        <v>191</v>
      </c>
      <c r="K8" s="5" t="s">
        <v>192</v>
      </c>
      <c r="L8" s="7" t="s">
        <v>162</v>
      </c>
    </row>
    <row r="9" spans="1:12" x14ac:dyDescent="0.25">
      <c r="A9" s="5">
        <v>8</v>
      </c>
      <c r="B9" s="5" t="s">
        <v>99</v>
      </c>
      <c r="C9" s="6" t="str">
        <f>INDEX(Needs!$B$2:$B$11,MATCH(B9,Needs!$A$2:$A$11,0))</f>
        <v>P01</v>
      </c>
      <c r="D9" s="6" t="str">
        <f>INDEX(Needs!$C$2:$C$11,MATCH(B9,Needs!$A$2:$A$11,0))</f>
        <v>Đọc được màn hình ngoài nắng</v>
      </c>
      <c r="E9" s="5" t="s">
        <v>135</v>
      </c>
      <c r="F9" s="6" t="str">
        <f>INDEX(Principles!$B$2:$B$9,MATCH(E9,Principles!$A$2:$A$9,0))</f>
        <v>Đọc được mọi lúc</v>
      </c>
      <c r="G9" s="5" t="s">
        <v>193</v>
      </c>
      <c r="H9" s="5" t="s">
        <v>179</v>
      </c>
      <c r="I9" s="5" t="s">
        <v>194</v>
      </c>
      <c r="J9" s="5" t="s">
        <v>195</v>
      </c>
      <c r="K9" s="5" t="s">
        <v>196</v>
      </c>
      <c r="L9" s="7" t="s">
        <v>197</v>
      </c>
    </row>
    <row r="10" spans="1:12" x14ac:dyDescent="0.25">
      <c r="A10" s="5">
        <v>9</v>
      </c>
      <c r="B10" s="5" t="s">
        <v>99</v>
      </c>
      <c r="C10" s="6" t="str">
        <f>INDEX(Needs!$B$2:$B$11,MATCH(B10,Needs!$A$2:$A$11,0))</f>
        <v>P01</v>
      </c>
      <c r="D10" s="6" t="str">
        <f>INDEX(Needs!$C$2:$C$11,MATCH(B10,Needs!$A$2:$A$11,0))</f>
        <v>Đọc được màn hình ngoài nắng</v>
      </c>
      <c r="E10" s="5" t="s">
        <v>135</v>
      </c>
      <c r="F10" s="6" t="str">
        <f>INDEX(Principles!$B$2:$B$9,MATCH(E10,Principles!$A$2:$A$9,0))</f>
        <v>Đọc được mọi lúc</v>
      </c>
      <c r="G10" s="5" t="s">
        <v>198</v>
      </c>
      <c r="H10" s="5" t="s">
        <v>199</v>
      </c>
      <c r="I10" s="5" t="s">
        <v>200</v>
      </c>
      <c r="J10" s="5" t="s">
        <v>201</v>
      </c>
      <c r="K10" s="5" t="s">
        <v>202</v>
      </c>
      <c r="L10" s="7" t="s">
        <v>162</v>
      </c>
    </row>
    <row r="11" spans="1:12" x14ac:dyDescent="0.25">
      <c r="A11" s="5">
        <v>10</v>
      </c>
      <c r="B11" s="5" t="s">
        <v>101</v>
      </c>
      <c r="C11" s="6" t="str">
        <f>INDEX(Needs!$B$2:$B$11,MATCH(B11,Needs!$A$2:$A$11,0))</f>
        <v>P01</v>
      </c>
      <c r="D11" s="6" t="str">
        <f>INDEX(Needs!$C$2:$C$11,MATCH(B11,Needs!$A$2:$A$11,0))</f>
        <v>Bắt đầu đặt món mà không phải tạo tài khoản</v>
      </c>
      <c r="E11" s="5" t="s">
        <v>139</v>
      </c>
      <c r="F11" s="6" t="str">
        <f>INDEX(Principles!$B$2:$B$9,MATCH(E11,Principles!$A$2:$A$9,0))</f>
        <v>Không bắt đăng ký trước</v>
      </c>
      <c r="G11" s="5" t="s">
        <v>203</v>
      </c>
      <c r="H11" s="5" t="s">
        <v>169</v>
      </c>
      <c r="I11" s="5" t="s">
        <v>86</v>
      </c>
      <c r="J11" s="5" t="s">
        <v>204</v>
      </c>
      <c r="K11" s="5" t="s">
        <v>205</v>
      </c>
      <c r="L11" s="7" t="s">
        <v>162</v>
      </c>
    </row>
    <row r="12" spans="1:12" ht="26.4" customHeight="1" x14ac:dyDescent="0.25">
      <c r="A12" s="5">
        <v>11</v>
      </c>
      <c r="B12" s="5" t="s">
        <v>103</v>
      </c>
      <c r="C12" s="6" t="str">
        <f>INDEX(Needs!$B$2:$B$11,MATCH(B12,Needs!$A$2:$A$11,0))</f>
        <v>P02</v>
      </c>
      <c r="D12" s="6" t="str">
        <f>INDEX(Needs!$C$2:$C$11,MATCH(B12,Needs!$A$2:$A$11,0))</f>
        <v>Biết chính xác tổng tiền trước khi trả</v>
      </c>
      <c r="E12" s="5" t="s">
        <v>127</v>
      </c>
      <c r="F12" s="6" t="str">
        <f>INDEX(Principles!$B$2:$B$9,MATCH(E12,Principles!$A$2:$A$9,0))</f>
        <v>Giá minh bạch</v>
      </c>
      <c r="G12" s="5" t="s">
        <v>206</v>
      </c>
      <c r="H12" s="5" t="s">
        <v>184</v>
      </c>
      <c r="I12" s="5" t="s">
        <v>159</v>
      </c>
      <c r="J12" s="5" t="s">
        <v>207</v>
      </c>
      <c r="K12" s="5" t="s">
        <v>208</v>
      </c>
      <c r="L12" s="7" t="s">
        <v>162</v>
      </c>
    </row>
    <row r="13" spans="1:12" ht="26.4" customHeight="1" x14ac:dyDescent="0.25">
      <c r="A13" s="5">
        <v>12</v>
      </c>
      <c r="B13" s="5" t="s">
        <v>103</v>
      </c>
      <c r="C13" s="6" t="str">
        <f>INDEX(Needs!$B$2:$B$11,MATCH(B13,Needs!$A$2:$A$11,0))</f>
        <v>P02</v>
      </c>
      <c r="D13" s="6" t="str">
        <f>INDEX(Needs!$C$2:$C$11,MATCH(B13,Needs!$A$2:$A$11,0))</f>
        <v>Biết chính xác tổng tiền trước khi trả</v>
      </c>
      <c r="E13" s="5" t="s">
        <v>127</v>
      </c>
      <c r="F13" s="6" t="str">
        <f>INDEX(Principles!$B$2:$B$9,MATCH(E13,Principles!$A$2:$A$9,0))</f>
        <v>Giá minh bạch</v>
      </c>
      <c r="G13" s="5" t="s">
        <v>209</v>
      </c>
      <c r="H13" s="5" t="s">
        <v>158</v>
      </c>
      <c r="I13" s="5" t="s">
        <v>210</v>
      </c>
      <c r="J13" s="5" t="s">
        <v>211</v>
      </c>
      <c r="K13" s="5" t="s">
        <v>212</v>
      </c>
      <c r="L13" s="7" t="s">
        <v>162</v>
      </c>
    </row>
    <row r="14" spans="1:12" x14ac:dyDescent="0.25">
      <c r="A14" s="5">
        <v>13</v>
      </c>
      <c r="B14" s="5" t="s">
        <v>105</v>
      </c>
      <c r="C14" s="6" t="str">
        <f>INDEX(Needs!$B$2:$B$11,MATCH(B14,Needs!$A$2:$A$11,0))</f>
        <v>P02</v>
      </c>
      <c r="D14" s="6" t="str">
        <f>INDEX(Needs!$C$2:$C$11,MATCH(B14,Needs!$A$2:$A$11,0))</f>
        <v>Biết vì sao mã giảm giá không dùng được</v>
      </c>
      <c r="E14" s="5" t="s">
        <v>127</v>
      </c>
      <c r="F14" s="6" t="str">
        <f>INDEX(Principles!$B$2:$B$9,MATCH(E14,Principles!$A$2:$A$9,0))</f>
        <v>Giá minh bạch</v>
      </c>
      <c r="G14" s="5" t="s">
        <v>213</v>
      </c>
      <c r="H14" s="5" t="s">
        <v>158</v>
      </c>
      <c r="I14" s="5" t="s">
        <v>214</v>
      </c>
      <c r="J14" s="5" t="s">
        <v>215</v>
      </c>
      <c r="K14" s="5" t="s">
        <v>216</v>
      </c>
      <c r="L14" s="7" t="s">
        <v>162</v>
      </c>
    </row>
    <row r="15" spans="1:12" x14ac:dyDescent="0.25">
      <c r="A15" s="5">
        <v>14</v>
      </c>
      <c r="B15" s="5" t="s">
        <v>107</v>
      </c>
      <c r="C15" s="6" t="str">
        <f>INDEX(Needs!$B$2:$B$11,MATCH(B15,Needs!$A$2:$A$11,0))</f>
        <v>P03</v>
      </c>
      <c r="D15" s="6" t="str">
        <f>INDEX(Needs!$C$2:$C$11,MATCH(B15,Needs!$A$2:$A$11,0))</f>
        <v>Đối chiếu và trả đúng đơn trong vài giây</v>
      </c>
      <c r="E15" s="5" t="s">
        <v>143</v>
      </c>
      <c r="F15" s="6" t="str">
        <f>INDEX(Principles!$B$2:$B$9,MATCH(E15,Principles!$A$2:$A$9,0))</f>
        <v>Dễ cho quầy</v>
      </c>
      <c r="G15" s="5" t="s">
        <v>217</v>
      </c>
      <c r="H15" s="5" t="s">
        <v>174</v>
      </c>
      <c r="I15" s="5" t="s">
        <v>218</v>
      </c>
      <c r="J15" s="5" t="s">
        <v>176</v>
      </c>
      <c r="K15" s="5" t="s">
        <v>219</v>
      </c>
      <c r="L15" s="7" t="s">
        <v>162</v>
      </c>
    </row>
    <row r="16" spans="1:12" x14ac:dyDescent="0.25">
      <c r="A16" s="5">
        <v>15</v>
      </c>
      <c r="B16" s="5" t="s">
        <v>109</v>
      </c>
      <c r="C16" s="6" t="str">
        <f>INDEX(Needs!$B$2:$B$11,MATCH(B16,Needs!$A$2:$A$11,0))</f>
        <v>P03</v>
      </c>
      <c r="D16" s="6" t="str">
        <f>INDEX(Needs!$C$2:$C$11,MATCH(B16,Needs!$A$2:$A$11,0))</f>
        <v>Không bị huỷ đơn khi món đã nấu</v>
      </c>
      <c r="E16" s="5" t="s">
        <v>143</v>
      </c>
      <c r="F16" s="6" t="str">
        <f>INDEX(Principles!$B$2:$B$9,MATCH(E16,Principles!$A$2:$A$9,0))</f>
        <v>Dễ cho quầy</v>
      </c>
      <c r="G16" s="5" t="s">
        <v>220</v>
      </c>
      <c r="H16" s="5" t="s">
        <v>174</v>
      </c>
      <c r="I16" s="5" t="s">
        <v>221</v>
      </c>
      <c r="J16" s="5" t="s">
        <v>222</v>
      </c>
      <c r="K16" s="5" t="s">
        <v>223</v>
      </c>
      <c r="L16" s="7" t="s">
        <v>162</v>
      </c>
    </row>
  </sheetData>
  <dataValidations count="1">
    <dataValidation type="list" allowBlank="1" sqref="L2:L16" xr:uid="{00000000-0002-0000-0400-000000000000}">
      <formula1>"Chưa test,Đạt,Đạt (tính toán),Không đạt,Cần sửa"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/>
  </sheetViews>
  <sheetFormatPr defaultRowHeight="13.8" x14ac:dyDescent="0.25"/>
  <cols>
    <col min="1" max="9" width="12" customWidth="1"/>
  </cols>
  <sheetData>
    <row r="1" spans="1:9" ht="15.6" customHeight="1" x14ac:dyDescent="0.3">
      <c r="A1" s="8" t="s">
        <v>224</v>
      </c>
    </row>
    <row r="3" spans="1:9" x14ac:dyDescent="0.25">
      <c r="A3" s="9" t="s">
        <v>88</v>
      </c>
      <c r="B3" s="9" t="s">
        <v>169</v>
      </c>
      <c r="C3" s="9" t="s">
        <v>184</v>
      </c>
      <c r="D3" s="9" t="s">
        <v>158</v>
      </c>
      <c r="E3" s="9" t="s">
        <v>189</v>
      </c>
      <c r="F3" s="9" t="s">
        <v>174</v>
      </c>
      <c r="G3" s="9" t="s">
        <v>164</v>
      </c>
      <c r="H3" s="9" t="s">
        <v>179</v>
      </c>
      <c r="I3" s="9" t="s">
        <v>225</v>
      </c>
    </row>
    <row r="4" spans="1:9" x14ac:dyDescent="0.25">
      <c r="A4" s="10" t="s">
        <v>36</v>
      </c>
      <c r="B4" s="11">
        <f>COUNTIFS(Mapping!$C$2:$C$16,$A4,Mapping!$H$2:$H$16,"*"&amp;B$3&amp;"*")</f>
        <v>2</v>
      </c>
      <c r="C4" s="11">
        <f>COUNTIFS(Mapping!$C$2:$C$16,$A4,Mapping!$H$2:$H$16,"*"&amp;C$3&amp;"*")</f>
        <v>1</v>
      </c>
      <c r="D4" s="11">
        <f>COUNTIFS(Mapping!$C$2:$C$16,$A4,Mapping!$H$2:$H$16,"*"&amp;D$3&amp;"*")</f>
        <v>2</v>
      </c>
      <c r="E4" s="11">
        <f>COUNTIFS(Mapping!$C$2:$C$16,$A4,Mapping!$H$2:$H$16,"*"&amp;E$3&amp;"*")</f>
        <v>1</v>
      </c>
      <c r="F4" s="11">
        <f>COUNTIFS(Mapping!$C$2:$C$16,$A4,Mapping!$H$2:$H$16,"*"&amp;F$3&amp;"*")</f>
        <v>2</v>
      </c>
      <c r="G4" s="11">
        <f>COUNTIFS(Mapping!$C$2:$C$16,$A4,Mapping!$H$2:$H$16,"*"&amp;G$3&amp;"*")</f>
        <v>1</v>
      </c>
      <c r="H4" s="11">
        <f>COUNTIFS(Mapping!$C$2:$C$16,$A4,Mapping!$H$2:$H$16,"*"&amp;H$3&amp;"*")</f>
        <v>2</v>
      </c>
      <c r="I4" s="11">
        <f>SUM(B4:H4)</f>
        <v>11</v>
      </c>
    </row>
    <row r="5" spans="1:9" x14ac:dyDescent="0.25">
      <c r="A5" s="10" t="s">
        <v>53</v>
      </c>
      <c r="B5" s="11">
        <f>COUNTIFS(Mapping!$C$2:$C$16,$A5,Mapping!$H$2:$H$16,"*"&amp;B$3&amp;"*")</f>
        <v>0</v>
      </c>
      <c r="C5" s="11">
        <f>COUNTIFS(Mapping!$C$2:$C$16,$A5,Mapping!$H$2:$H$16,"*"&amp;C$3&amp;"*")</f>
        <v>1</v>
      </c>
      <c r="D5" s="11">
        <f>COUNTIFS(Mapping!$C$2:$C$16,$A5,Mapping!$H$2:$H$16,"*"&amp;D$3&amp;"*")</f>
        <v>2</v>
      </c>
      <c r="E5" s="11">
        <f>COUNTIFS(Mapping!$C$2:$C$16,$A5,Mapping!$H$2:$H$16,"*"&amp;E$3&amp;"*")</f>
        <v>0</v>
      </c>
      <c r="F5" s="11">
        <f>COUNTIFS(Mapping!$C$2:$C$16,$A5,Mapping!$H$2:$H$16,"*"&amp;F$3&amp;"*")</f>
        <v>0</v>
      </c>
      <c r="G5" s="11">
        <f>COUNTIFS(Mapping!$C$2:$C$16,$A5,Mapping!$H$2:$H$16,"*"&amp;G$3&amp;"*")</f>
        <v>0</v>
      </c>
      <c r="H5" s="11">
        <f>COUNTIFS(Mapping!$C$2:$C$16,$A5,Mapping!$H$2:$H$16,"*"&amp;H$3&amp;"*")</f>
        <v>0</v>
      </c>
      <c r="I5" s="11">
        <f>SUM(B5:H5)</f>
        <v>3</v>
      </c>
    </row>
    <row r="6" spans="1:9" x14ac:dyDescent="0.25">
      <c r="A6" s="10" t="s">
        <v>70</v>
      </c>
      <c r="B6" s="11">
        <f>COUNTIFS(Mapping!$C$2:$C$16,$A6,Mapping!$H$2:$H$16,"*"&amp;B$3&amp;"*")</f>
        <v>0</v>
      </c>
      <c r="C6" s="11">
        <f>COUNTIFS(Mapping!$C$2:$C$16,$A6,Mapping!$H$2:$H$16,"*"&amp;C$3&amp;"*")</f>
        <v>0</v>
      </c>
      <c r="D6" s="11">
        <f>COUNTIFS(Mapping!$C$2:$C$16,$A6,Mapping!$H$2:$H$16,"*"&amp;D$3&amp;"*")</f>
        <v>0</v>
      </c>
      <c r="E6" s="11">
        <f>COUNTIFS(Mapping!$C$2:$C$16,$A6,Mapping!$H$2:$H$16,"*"&amp;E$3&amp;"*")</f>
        <v>0</v>
      </c>
      <c r="F6" s="11">
        <f>COUNTIFS(Mapping!$C$2:$C$16,$A6,Mapping!$H$2:$H$16,"*"&amp;F$3&amp;"*")</f>
        <v>2</v>
      </c>
      <c r="G6" s="11">
        <f>COUNTIFS(Mapping!$C$2:$C$16,$A6,Mapping!$H$2:$H$16,"*"&amp;G$3&amp;"*")</f>
        <v>0</v>
      </c>
      <c r="H6" s="11">
        <f>COUNTIFS(Mapping!$C$2:$C$16,$A6,Mapping!$H$2:$H$16,"*"&amp;H$3&amp;"*")</f>
        <v>0</v>
      </c>
      <c r="I6" s="11">
        <f>SUM(B6:H6)</f>
        <v>2</v>
      </c>
    </row>
    <row r="8" spans="1:9" x14ac:dyDescent="0.25">
      <c r="A8" s="12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Personas</vt:lpstr>
      <vt:lpstr>Needs</vt:lpstr>
      <vt:lpstr>Principles</vt:lpstr>
      <vt:lpstr>Mapping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Babluokei4</cp:lastModifiedBy>
  <dcterms:created xsi:type="dcterms:W3CDTF">2026-10-17T08:38:12Z</dcterms:created>
  <dcterms:modified xsi:type="dcterms:W3CDTF">2026-10-19T22:58:02Z</dcterms:modified>
</cp:coreProperties>
</file>